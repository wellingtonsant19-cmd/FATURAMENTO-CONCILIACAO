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IFROTA" sheetId="1" state="visible" r:id="rId1"/>
    <sheet xmlns:r="http://schemas.openxmlformats.org/officeDocument/2006/relationships" name="NUTRICA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5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5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>
      <c r="B1" s="1" t="inlineStr">
        <is>
          <t>GIS</t>
        </is>
      </c>
      <c r="J1" s="1" t="inlineStr">
        <is>
          <t>CONTAS A PAGAR - MATERA</t>
        </is>
      </c>
      <c r="R1" s="1" t="inlineStr">
        <is>
          <t>CONCILIAÇÃO</t>
        </is>
      </c>
      <c r="AA1" s="1" t="inlineStr">
        <is>
          <t>NÃO INTEGRADO NO GIS</t>
        </is>
      </c>
    </row>
    <row r="2">
      <c r="A2" s="2" t="inlineStr">
        <is>
          <t>DATA</t>
        </is>
      </c>
      <c r="B2" s="2" t="inlineStr">
        <is>
          <t>GM</t>
        </is>
      </c>
      <c r="C2" s="2" t="inlineStr">
        <is>
          <t>MPP</t>
        </is>
      </c>
      <c r="D2" s="2" t="inlineStr">
        <is>
          <t>MX</t>
        </is>
      </c>
      <c r="E2" s="2" t="inlineStr">
        <is>
          <t>MXP</t>
        </is>
      </c>
      <c r="F2" s="2" t="inlineStr">
        <is>
          <t>PED</t>
        </is>
      </c>
      <c r="G2" s="2" t="inlineStr">
        <is>
          <t>VCE</t>
        </is>
      </c>
      <c r="H2" s="2" t="inlineStr">
        <is>
          <t>VEI</t>
        </is>
      </c>
      <c r="I2" s="2" t="inlineStr">
        <is>
          <t>VPP</t>
        </is>
      </c>
      <c r="J2" s="2" t="inlineStr">
        <is>
          <t>GM</t>
        </is>
      </c>
      <c r="K2" s="2" t="inlineStr">
        <is>
          <t>MPP</t>
        </is>
      </c>
      <c r="L2" s="2" t="inlineStr">
        <is>
          <t>MX</t>
        </is>
      </c>
      <c r="M2" s="2" t="inlineStr">
        <is>
          <t>MXP</t>
        </is>
      </c>
      <c r="N2" s="2" t="inlineStr">
        <is>
          <t>PED</t>
        </is>
      </c>
      <c r="O2" s="2" t="inlineStr">
        <is>
          <t>VCE</t>
        </is>
      </c>
      <c r="P2" s="2" t="inlineStr">
        <is>
          <t>VEI</t>
        </is>
      </c>
      <c r="Q2" s="2" t="inlineStr">
        <is>
          <t>VPP</t>
        </is>
      </c>
      <c r="R2" s="2" t="inlineStr">
        <is>
          <t>GM</t>
        </is>
      </c>
      <c r="S2" s="2" t="inlineStr">
        <is>
          <t>MPP</t>
        </is>
      </c>
      <c r="T2" s="2" t="inlineStr">
        <is>
          <t>MX</t>
        </is>
      </c>
      <c r="U2" s="2" t="inlineStr">
        <is>
          <t>MXP</t>
        </is>
      </c>
      <c r="V2" s="2" t="inlineStr">
        <is>
          <t>PED</t>
        </is>
      </c>
      <c r="W2" s="2" t="inlineStr">
        <is>
          <t>VCE</t>
        </is>
      </c>
      <c r="X2" s="2" t="inlineStr">
        <is>
          <t>VEI</t>
        </is>
      </c>
      <c r="Y2" s="2" t="inlineStr">
        <is>
          <t>VPP</t>
        </is>
      </c>
      <c r="Z2" s="2" t="inlineStr">
        <is>
          <t>DATA</t>
        </is>
      </c>
      <c r="AA2" s="3" t="inlineStr">
        <is>
          <t>GM</t>
        </is>
      </c>
      <c r="AB2" s="3" t="inlineStr">
        <is>
          <t>MPP</t>
        </is>
      </c>
      <c r="AC2" s="3" t="inlineStr">
        <is>
          <t>MX</t>
        </is>
      </c>
      <c r="AD2" s="3" t="inlineStr">
        <is>
          <t>MXP</t>
        </is>
      </c>
      <c r="AE2" s="3" t="inlineStr">
        <is>
          <t>PED</t>
        </is>
      </c>
      <c r="AF2" s="3" t="inlineStr">
        <is>
          <t>VCE</t>
        </is>
      </c>
      <c r="AG2" s="3" t="inlineStr">
        <is>
          <t>VEI</t>
        </is>
      </c>
      <c r="AH2" s="3" t="inlineStr">
        <is>
          <t>VPP</t>
        </is>
      </c>
    </row>
    <row r="3">
      <c r="A3" s="4" t="n">
        <v>46082</v>
      </c>
      <c r="B3" s="5" t="n">
        <v>196048.53</v>
      </c>
      <c r="C3" s="6" t="n"/>
      <c r="D3" s="5" t="n">
        <v>6098744.51</v>
      </c>
      <c r="E3" s="5" t="n">
        <v>500</v>
      </c>
      <c r="F3" s="6" t="n"/>
      <c r="G3" s="5" t="n">
        <v>100373.21</v>
      </c>
      <c r="H3" s="5" t="n">
        <v>85378.39</v>
      </c>
      <c r="I3" s="5" t="n">
        <v>2245.32</v>
      </c>
      <c r="J3" s="5" t="n">
        <v>196048.53</v>
      </c>
      <c r="K3" s="6" t="n"/>
      <c r="L3" s="5" t="n">
        <v>6098744.51</v>
      </c>
      <c r="M3" s="5" t="n">
        <v>500</v>
      </c>
      <c r="N3" s="6" t="n"/>
      <c r="O3" s="5" t="n">
        <v>100373.21</v>
      </c>
      <c r="P3" s="6" t="n"/>
      <c r="Q3" s="5" t="n">
        <v>2245.32</v>
      </c>
      <c r="R3" s="5">
        <f>B3-J3</f>
        <v/>
      </c>
      <c r="S3" s="5">
        <f>C3-K3</f>
        <v/>
      </c>
      <c r="T3" s="5">
        <f>D3-L3</f>
        <v/>
      </c>
      <c r="U3" s="5">
        <f>E3-M3</f>
        <v/>
      </c>
      <c r="V3" s="5">
        <f>F3-N3</f>
        <v/>
      </c>
      <c r="W3" s="5">
        <f>G3-O3</f>
        <v/>
      </c>
      <c r="X3" s="5">
        <f>H3-P3</f>
        <v/>
      </c>
      <c r="Y3" s="5">
        <f>I3-Q3</f>
        <v/>
      </c>
      <c r="Z3" s="7">
        <f>A3</f>
        <v/>
      </c>
      <c r="AA3" s="6" t="n"/>
      <c r="AB3" s="6" t="n"/>
      <c r="AC3" s="5" t="n">
        <v>276.31</v>
      </c>
      <c r="AD3" s="6" t="n"/>
      <c r="AE3" s="6" t="n"/>
      <c r="AF3" s="6" t="n"/>
      <c r="AG3" s="5" t="n">
        <v>254.96</v>
      </c>
      <c r="AH3" s="6" t="n"/>
    </row>
    <row r="4">
      <c r="A4" s="4" t="n">
        <v>46083</v>
      </c>
      <c r="B4" s="5" t="n">
        <v>21234.11</v>
      </c>
      <c r="C4" s="6" t="n"/>
      <c r="D4" s="5" t="n">
        <v>586545.88</v>
      </c>
      <c r="E4" s="5" t="n">
        <v>29938.49</v>
      </c>
      <c r="F4" s="6" t="n"/>
      <c r="G4" s="5" t="n">
        <v>3220.36</v>
      </c>
      <c r="H4" s="5" t="n">
        <v>63702.66</v>
      </c>
      <c r="I4" s="5" t="n">
        <v>5349.14</v>
      </c>
      <c r="J4" s="5" t="n">
        <v>21234.11</v>
      </c>
      <c r="K4" s="6" t="n"/>
      <c r="L4" s="5" t="n">
        <v>586545.88</v>
      </c>
      <c r="M4" s="5" t="n">
        <v>29938.49</v>
      </c>
      <c r="N4" s="6" t="n"/>
      <c r="O4" s="5" t="n">
        <v>3220.36</v>
      </c>
      <c r="P4" s="6" t="n"/>
      <c r="Q4" s="5" t="n">
        <v>5349.14</v>
      </c>
      <c r="R4" s="5">
        <f>B4-J4</f>
        <v/>
      </c>
      <c r="S4" s="5">
        <f>C4-K4</f>
        <v/>
      </c>
      <c r="T4" s="5">
        <f>D4-L4</f>
        <v/>
      </c>
      <c r="U4" s="5">
        <f>E4-M4</f>
        <v/>
      </c>
      <c r="V4" s="5">
        <f>F4-N4</f>
        <v/>
      </c>
      <c r="W4" s="5">
        <f>G4-O4</f>
        <v/>
      </c>
      <c r="X4" s="5">
        <f>H4-P4</f>
        <v/>
      </c>
      <c r="Y4" s="5">
        <f>I4-Q4</f>
        <v/>
      </c>
      <c r="Z4" s="7">
        <f>A4</f>
        <v/>
      </c>
      <c r="AA4" s="6" t="n"/>
      <c r="AB4" s="6" t="n"/>
      <c r="AC4" s="6" t="n"/>
      <c r="AD4" s="6" t="n"/>
      <c r="AE4" s="6" t="n"/>
      <c r="AF4" s="6" t="n"/>
      <c r="AG4" s="5" t="n">
        <v>1389.72</v>
      </c>
      <c r="AH4" s="6" t="n"/>
    </row>
    <row r="5">
      <c r="A5" s="4" t="n">
        <v>46084</v>
      </c>
      <c r="B5" s="5" t="n">
        <v>51977.42</v>
      </c>
      <c r="C5" s="6" t="n"/>
      <c r="D5" s="5" t="n">
        <v>2654741.71</v>
      </c>
      <c r="E5" s="5" t="n">
        <v>346266.15</v>
      </c>
      <c r="F5" s="6" t="n"/>
      <c r="G5" s="5" t="n">
        <v>45659.92</v>
      </c>
      <c r="H5" s="5" t="n">
        <v>178801.07</v>
      </c>
      <c r="I5" s="5" t="n">
        <v>8285.84</v>
      </c>
      <c r="J5" s="5" t="n">
        <v>51977.42</v>
      </c>
      <c r="K5" s="6" t="n"/>
      <c r="L5" s="5" t="n">
        <v>2654741.71</v>
      </c>
      <c r="M5" s="5" t="n">
        <v>346266.15</v>
      </c>
      <c r="N5" s="6" t="n"/>
      <c r="O5" s="5" t="n">
        <v>45659.92</v>
      </c>
      <c r="P5" s="6" t="n"/>
      <c r="Q5" s="5" t="n">
        <v>8285.84</v>
      </c>
      <c r="R5" s="5">
        <f>B5-J5</f>
        <v/>
      </c>
      <c r="S5" s="5">
        <f>C5-K5</f>
        <v/>
      </c>
      <c r="T5" s="5">
        <f>D5-L5</f>
        <v/>
      </c>
      <c r="U5" s="5">
        <f>E5-M5</f>
        <v/>
      </c>
      <c r="V5" s="5">
        <f>F5-N5</f>
        <v/>
      </c>
      <c r="W5" s="5">
        <f>G5-O5</f>
        <v/>
      </c>
      <c r="X5" s="5">
        <f>H5-P5</f>
        <v/>
      </c>
      <c r="Y5" s="5">
        <f>I5-Q5</f>
        <v/>
      </c>
      <c r="Z5" s="7">
        <f>A5</f>
        <v/>
      </c>
      <c r="AA5" s="6" t="n"/>
      <c r="AB5" s="6" t="n"/>
      <c r="AC5" s="6" t="n"/>
      <c r="AD5" s="6" t="n"/>
      <c r="AE5" s="6" t="n"/>
      <c r="AF5" s="6" t="n"/>
      <c r="AG5" s="5" t="n">
        <v>1142.67</v>
      </c>
      <c r="AH5" s="6" t="n"/>
    </row>
    <row r="6">
      <c r="A6" s="4" t="n">
        <v>46085</v>
      </c>
      <c r="B6" s="5" t="n">
        <v>35248.02</v>
      </c>
      <c r="C6" s="6" t="n"/>
      <c r="D6" s="5" t="n">
        <v>348279.83</v>
      </c>
      <c r="E6" s="5" t="n">
        <v>27307.47</v>
      </c>
      <c r="F6" s="6" t="n"/>
      <c r="G6" s="5" t="n">
        <v>1137.87</v>
      </c>
      <c r="H6" s="5" t="n">
        <v>167040.64</v>
      </c>
      <c r="I6" s="5" t="n">
        <v>8555.07</v>
      </c>
      <c r="J6" s="5" t="n">
        <v>35248.02</v>
      </c>
      <c r="K6" s="6" t="n"/>
      <c r="L6" s="5" t="n">
        <v>348279.83</v>
      </c>
      <c r="M6" s="5" t="n">
        <v>27307.47</v>
      </c>
      <c r="N6" s="6" t="n"/>
      <c r="O6" s="5" t="n">
        <v>1137.87</v>
      </c>
      <c r="P6" s="6" t="n"/>
      <c r="Q6" s="5" t="n">
        <v>8555.07</v>
      </c>
      <c r="R6" s="5">
        <f>B6-J6</f>
        <v/>
      </c>
      <c r="S6" s="5">
        <f>C6-K6</f>
        <v/>
      </c>
      <c r="T6" s="5">
        <f>D6-L6</f>
        <v/>
      </c>
      <c r="U6" s="5">
        <f>E6-M6</f>
        <v/>
      </c>
      <c r="V6" s="5">
        <f>F6-N6</f>
        <v/>
      </c>
      <c r="W6" s="5">
        <f>G6-O6</f>
        <v/>
      </c>
      <c r="X6" s="5">
        <f>H6-P6</f>
        <v/>
      </c>
      <c r="Y6" s="5">
        <f>I6-Q6</f>
        <v/>
      </c>
      <c r="Z6" s="7">
        <f>A6</f>
        <v/>
      </c>
      <c r="AA6" s="6" t="n"/>
      <c r="AB6" s="6" t="n"/>
      <c r="AC6" s="6" t="n"/>
      <c r="AD6" s="6" t="n"/>
      <c r="AE6" s="6" t="n"/>
      <c r="AF6" s="6" t="n"/>
      <c r="AG6" s="5" t="n">
        <v>540.5</v>
      </c>
      <c r="AH6" s="6" t="n"/>
    </row>
    <row r="7">
      <c r="A7" s="4" t="n">
        <v>46086</v>
      </c>
      <c r="B7" s="5" t="n">
        <v>164045.87</v>
      </c>
      <c r="C7" s="6" t="n"/>
      <c r="D7" s="5" t="n">
        <v>1898897.28</v>
      </c>
      <c r="E7" s="5" t="n">
        <v>6228.12</v>
      </c>
      <c r="F7" s="6" t="n"/>
      <c r="G7" s="5" t="n">
        <v>63141.53</v>
      </c>
      <c r="H7" s="5" t="n">
        <v>181042.88</v>
      </c>
      <c r="I7" s="5" t="n">
        <v>7866.77</v>
      </c>
      <c r="J7" s="5" t="n">
        <v>164045.87</v>
      </c>
      <c r="K7" s="6" t="n"/>
      <c r="L7" s="5" t="n">
        <v>1898897.28</v>
      </c>
      <c r="M7" s="5" t="n">
        <v>6228.12</v>
      </c>
      <c r="N7" s="6" t="n"/>
      <c r="O7" s="5" t="n">
        <v>63141.53</v>
      </c>
      <c r="P7" s="6" t="n"/>
      <c r="Q7" s="5" t="n">
        <v>7866.77</v>
      </c>
      <c r="R7" s="5">
        <f>B7-J7</f>
        <v/>
      </c>
      <c r="S7" s="5">
        <f>C7-K7</f>
        <v/>
      </c>
      <c r="T7" s="5">
        <f>D7-L7</f>
        <v/>
      </c>
      <c r="U7" s="5">
        <f>E7-M7</f>
        <v/>
      </c>
      <c r="V7" s="5">
        <f>F7-N7</f>
        <v/>
      </c>
      <c r="W7" s="5">
        <f>G7-O7</f>
        <v/>
      </c>
      <c r="X7" s="5">
        <f>H7-P7</f>
        <v/>
      </c>
      <c r="Y7" s="5">
        <f>I7-Q7</f>
        <v/>
      </c>
      <c r="Z7" s="7">
        <f>A7</f>
        <v/>
      </c>
      <c r="AA7" s="6" t="n"/>
      <c r="AB7" s="6" t="n"/>
      <c r="AC7" s="6" t="n"/>
      <c r="AD7" s="6" t="n"/>
      <c r="AE7" s="6" t="n"/>
      <c r="AF7" s="6" t="n"/>
      <c r="AG7" s="5" t="n">
        <v>1462.05</v>
      </c>
      <c r="AH7" s="6" t="n"/>
    </row>
    <row r="8">
      <c r="A8" s="4" t="n">
        <v>46087</v>
      </c>
      <c r="B8" s="5" t="n">
        <v>36937.86</v>
      </c>
      <c r="C8" s="6" t="n"/>
      <c r="D8" s="5" t="n">
        <v>195670.91</v>
      </c>
      <c r="E8" s="5" t="n">
        <v>43954.3</v>
      </c>
      <c r="F8" s="6" t="n"/>
      <c r="G8" s="6" t="n"/>
      <c r="H8" s="5" t="n">
        <v>168649.79</v>
      </c>
      <c r="I8" s="5" t="n">
        <v>7765.6</v>
      </c>
      <c r="J8" s="5" t="n">
        <v>36937.86</v>
      </c>
      <c r="K8" s="6" t="n"/>
      <c r="L8" s="5" t="n">
        <v>195670.91</v>
      </c>
      <c r="M8" s="5" t="n">
        <v>43954.3</v>
      </c>
      <c r="N8" s="6" t="n"/>
      <c r="O8" s="6" t="n"/>
      <c r="P8" s="6" t="n"/>
      <c r="Q8" s="5" t="n">
        <v>7765.6</v>
      </c>
      <c r="R8" s="5">
        <f>B8-J8</f>
        <v/>
      </c>
      <c r="S8" s="5">
        <f>C8-K8</f>
        <v/>
      </c>
      <c r="T8" s="5">
        <f>D8-L8</f>
        <v/>
      </c>
      <c r="U8" s="5">
        <f>E8-M8</f>
        <v/>
      </c>
      <c r="V8" s="5">
        <f>F8-N8</f>
        <v/>
      </c>
      <c r="W8" s="5">
        <f>G8-O8</f>
        <v/>
      </c>
      <c r="X8" s="5">
        <f>H8-P8</f>
        <v/>
      </c>
      <c r="Y8" s="5">
        <f>I8-Q8</f>
        <v/>
      </c>
      <c r="Z8" s="7">
        <f>A8</f>
        <v/>
      </c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s="4" t="n">
        <v>46088</v>
      </c>
      <c r="B9" s="6" t="n"/>
      <c r="C9" s="6" t="n"/>
      <c r="D9" s="5" t="n">
        <v>318881.68</v>
      </c>
      <c r="E9" s="5" t="n">
        <v>2527.66</v>
      </c>
      <c r="F9" s="6" t="n"/>
      <c r="G9" s="6" t="n"/>
      <c r="H9" s="5" t="n">
        <v>197532.62</v>
      </c>
      <c r="I9" s="5" t="n">
        <v>6576.75</v>
      </c>
      <c r="J9" s="6" t="n"/>
      <c r="K9" s="6" t="n"/>
      <c r="L9" s="5" t="n">
        <v>318881.68</v>
      </c>
      <c r="M9" s="5" t="n">
        <v>2527.66</v>
      </c>
      <c r="N9" s="6" t="n"/>
      <c r="O9" s="6" t="n"/>
      <c r="P9" s="6" t="n"/>
      <c r="Q9" s="5" t="n">
        <v>6576.75</v>
      </c>
      <c r="R9" s="5">
        <f>B9-J9</f>
        <v/>
      </c>
      <c r="S9" s="5">
        <f>C9-K9</f>
        <v/>
      </c>
      <c r="T9" s="5">
        <f>D9-L9</f>
        <v/>
      </c>
      <c r="U9" s="5">
        <f>E9-M9</f>
        <v/>
      </c>
      <c r="V9" s="5">
        <f>F9-N9</f>
        <v/>
      </c>
      <c r="W9" s="5">
        <f>G9-O9</f>
        <v/>
      </c>
      <c r="X9" s="5">
        <f>H9-P9</f>
        <v/>
      </c>
      <c r="Y9" s="5">
        <f>I9-Q9</f>
        <v/>
      </c>
      <c r="Z9" s="7">
        <f>A9</f>
        <v/>
      </c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s="4" t="n">
        <v>46089</v>
      </c>
      <c r="B10" s="5" t="n">
        <v>84942.24000000001</v>
      </c>
      <c r="C10" s="6" t="n"/>
      <c r="D10" s="5" t="n">
        <v>122403.65</v>
      </c>
      <c r="E10" s="5" t="n">
        <v>450</v>
      </c>
      <c r="F10" s="6" t="n"/>
      <c r="G10" s="6" t="n"/>
      <c r="H10" s="5" t="n">
        <v>84269.34</v>
      </c>
      <c r="I10" s="5" t="n">
        <v>3529.43</v>
      </c>
      <c r="J10" s="5" t="n">
        <v>84942.24000000001</v>
      </c>
      <c r="K10" s="6" t="n"/>
      <c r="L10" s="5" t="n">
        <v>122403.65</v>
      </c>
      <c r="M10" s="5" t="n">
        <v>450</v>
      </c>
      <c r="N10" s="6" t="n"/>
      <c r="O10" s="6" t="n"/>
      <c r="P10" s="6" t="n"/>
      <c r="Q10" s="5" t="n">
        <v>3529.43</v>
      </c>
      <c r="R10" s="5">
        <f>B10-J10</f>
        <v/>
      </c>
      <c r="S10" s="5">
        <f>C10-K10</f>
        <v/>
      </c>
      <c r="T10" s="5">
        <f>D10-L10</f>
        <v/>
      </c>
      <c r="U10" s="5">
        <f>E10-M10</f>
        <v/>
      </c>
      <c r="V10" s="5">
        <f>F10-N10</f>
        <v/>
      </c>
      <c r="W10" s="5">
        <f>G10-O10</f>
        <v/>
      </c>
      <c r="X10" s="5">
        <f>H10-P10</f>
        <v/>
      </c>
      <c r="Y10" s="5">
        <f>I10-Q10</f>
        <v/>
      </c>
      <c r="Z10" s="7">
        <f>A10</f>
        <v/>
      </c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s="4" t="n">
        <v>46090</v>
      </c>
      <c r="B11" s="6" t="n"/>
      <c r="C11" s="6" t="n"/>
      <c r="D11" s="5" t="n">
        <v>1226862.66</v>
      </c>
      <c r="E11" s="5" t="n">
        <v>39208.17</v>
      </c>
      <c r="F11" s="6" t="n"/>
      <c r="G11" s="5" t="n">
        <v>3224.46</v>
      </c>
      <c r="H11" s="5" t="n">
        <v>62457.28</v>
      </c>
      <c r="I11" s="5" t="n">
        <v>5818.92</v>
      </c>
      <c r="J11" s="6" t="n"/>
      <c r="K11" s="6" t="n"/>
      <c r="L11" s="5" t="n">
        <v>1226862.66</v>
      </c>
      <c r="M11" s="5" t="n">
        <v>39208.17</v>
      </c>
      <c r="N11" s="6" t="n"/>
      <c r="O11" s="5" t="n">
        <v>3224.46</v>
      </c>
      <c r="P11" s="6" t="n"/>
      <c r="Q11" s="5" t="n">
        <v>5818.92</v>
      </c>
      <c r="R11" s="5">
        <f>B11-J11</f>
        <v/>
      </c>
      <c r="S11" s="5">
        <f>C11-K11</f>
        <v/>
      </c>
      <c r="T11" s="5">
        <f>D11-L11</f>
        <v/>
      </c>
      <c r="U11" s="5">
        <f>E11-M11</f>
        <v/>
      </c>
      <c r="V11" s="5">
        <f>F11-N11</f>
        <v/>
      </c>
      <c r="W11" s="5">
        <f>G11-O11</f>
        <v/>
      </c>
      <c r="X11" s="5">
        <f>H11-P11</f>
        <v/>
      </c>
      <c r="Y11" s="5">
        <f>I11-Q11</f>
        <v/>
      </c>
      <c r="Z11" s="7">
        <f>A11</f>
        <v/>
      </c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s="4" t="n">
        <v>46091</v>
      </c>
      <c r="B12" s="5" t="n">
        <v>1022308.04</v>
      </c>
      <c r="C12" s="6" t="n"/>
      <c r="D12" s="5" t="n">
        <v>12258055.91</v>
      </c>
      <c r="E12" s="5" t="n">
        <v>63972.03</v>
      </c>
      <c r="F12" s="6" t="n"/>
      <c r="G12" s="5" t="n">
        <v>6975.98</v>
      </c>
      <c r="H12" s="5" t="n">
        <v>182809.58</v>
      </c>
      <c r="I12" s="5" t="n">
        <v>8260.65</v>
      </c>
      <c r="J12" s="5" t="n">
        <v>1022308.04</v>
      </c>
      <c r="K12" s="6" t="n"/>
      <c r="L12" s="5" t="n">
        <v>12258055.91</v>
      </c>
      <c r="M12" s="5" t="n">
        <v>63972.03</v>
      </c>
      <c r="N12" s="6" t="n"/>
      <c r="O12" s="5" t="n">
        <v>6975.98</v>
      </c>
      <c r="P12" s="6" t="n"/>
      <c r="Q12" s="5" t="n">
        <v>8260.65</v>
      </c>
      <c r="R12" s="5">
        <f>B12-J12</f>
        <v/>
      </c>
      <c r="S12" s="5">
        <f>C12-K12</f>
        <v/>
      </c>
      <c r="T12" s="5">
        <f>D12-L12</f>
        <v/>
      </c>
      <c r="U12" s="5">
        <f>E12-M12</f>
        <v/>
      </c>
      <c r="V12" s="5">
        <f>F12-N12</f>
        <v/>
      </c>
      <c r="W12" s="5">
        <f>G12-O12</f>
        <v/>
      </c>
      <c r="X12" s="5">
        <f>H12-P12</f>
        <v/>
      </c>
      <c r="Y12" s="5">
        <f>I12-Q12</f>
        <v/>
      </c>
      <c r="Z12" s="7">
        <f>A12</f>
        <v/>
      </c>
      <c r="AA12" s="6" t="n"/>
      <c r="AB12" s="6" t="n"/>
      <c r="AC12" s="5" t="n">
        <v>4011.62</v>
      </c>
      <c r="AD12" s="6" t="n"/>
      <c r="AE12" s="6" t="n"/>
      <c r="AF12" s="6" t="n"/>
      <c r="AG12" s="6" t="n"/>
      <c r="AH12" s="6" t="n"/>
    </row>
    <row r="13">
      <c r="A13" s="4" t="n">
        <v>46092</v>
      </c>
      <c r="B13" s="5" t="n">
        <v>79271.95</v>
      </c>
      <c r="C13" s="6" t="n"/>
      <c r="D13" s="5" t="n">
        <v>369557.8</v>
      </c>
      <c r="E13" s="5" t="n">
        <v>138971.27</v>
      </c>
      <c r="F13" s="6" t="n"/>
      <c r="G13" s="5" t="n">
        <v>828.37</v>
      </c>
      <c r="H13" s="5" t="n">
        <v>222344.79</v>
      </c>
      <c r="I13" s="5" t="n">
        <v>7486.89</v>
      </c>
      <c r="J13" s="5" t="n">
        <v>79271.95</v>
      </c>
      <c r="K13" s="6" t="n"/>
      <c r="L13" s="5" t="n">
        <v>369557.8</v>
      </c>
      <c r="M13" s="5" t="n">
        <v>138971.27</v>
      </c>
      <c r="N13" s="6" t="n"/>
      <c r="O13" s="5" t="n">
        <v>828.37</v>
      </c>
      <c r="P13" s="6" t="n"/>
      <c r="Q13" s="5" t="n">
        <v>7486.89</v>
      </c>
      <c r="R13" s="5">
        <f>B13-J13</f>
        <v/>
      </c>
      <c r="S13" s="5">
        <f>C13-K13</f>
        <v/>
      </c>
      <c r="T13" s="5">
        <f>D13-L13</f>
        <v/>
      </c>
      <c r="U13" s="5">
        <f>E13-M13</f>
        <v/>
      </c>
      <c r="V13" s="5">
        <f>F13-N13</f>
        <v/>
      </c>
      <c r="W13" s="5">
        <f>G13-O13</f>
        <v/>
      </c>
      <c r="X13" s="5">
        <f>H13-P13</f>
        <v/>
      </c>
      <c r="Y13" s="5">
        <f>I13-Q13</f>
        <v/>
      </c>
      <c r="Z13" s="7">
        <f>A13</f>
        <v/>
      </c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s="4" t="n">
        <v>46093</v>
      </c>
      <c r="B14" s="5" t="n">
        <v>28372.5</v>
      </c>
      <c r="C14" s="6" t="n"/>
      <c r="D14" s="5" t="n">
        <v>45740.39</v>
      </c>
      <c r="E14" s="5" t="n">
        <v>25755.2</v>
      </c>
      <c r="F14" s="6" t="n"/>
      <c r="G14" s="5" t="n">
        <v>145.69</v>
      </c>
      <c r="H14" s="5" t="n">
        <v>200968.25</v>
      </c>
      <c r="I14" s="5" t="n">
        <v>11236.36</v>
      </c>
      <c r="J14" s="5" t="n">
        <v>28372.5</v>
      </c>
      <c r="K14" s="6" t="n"/>
      <c r="L14" s="5" t="n">
        <v>45740.39</v>
      </c>
      <c r="M14" s="5" t="n">
        <v>25755.2</v>
      </c>
      <c r="N14" s="6" t="n"/>
      <c r="O14" s="5" t="n">
        <v>145.69</v>
      </c>
      <c r="P14" s="6" t="n"/>
      <c r="Q14" s="5" t="n">
        <v>11236.36</v>
      </c>
      <c r="R14" s="5">
        <f>B14-J14</f>
        <v/>
      </c>
      <c r="S14" s="5">
        <f>C14-K14</f>
        <v/>
      </c>
      <c r="T14" s="5">
        <f>D14-L14</f>
        <v/>
      </c>
      <c r="U14" s="5">
        <f>E14-M14</f>
        <v/>
      </c>
      <c r="V14" s="5">
        <f>F14-N14</f>
        <v/>
      </c>
      <c r="W14" s="5">
        <f>G14-O14</f>
        <v/>
      </c>
      <c r="X14" s="5">
        <f>H14-P14</f>
        <v/>
      </c>
      <c r="Y14" s="5">
        <f>I14-Q14</f>
        <v/>
      </c>
      <c r="Z14" s="7">
        <f>A14</f>
        <v/>
      </c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s="4" t="n">
        <v>46094</v>
      </c>
      <c r="B15" s="6" t="n"/>
      <c r="C15" s="6" t="n"/>
      <c r="D15" s="5" t="n">
        <v>148911.99</v>
      </c>
      <c r="E15" s="5" t="n">
        <v>18311.61</v>
      </c>
      <c r="F15" s="6" t="n"/>
      <c r="G15" s="5" t="n">
        <v>51.83</v>
      </c>
      <c r="H15" s="5" t="n">
        <v>210424.82</v>
      </c>
      <c r="I15" s="5" t="n">
        <v>11872.53</v>
      </c>
      <c r="J15" s="6" t="n"/>
      <c r="K15" s="6" t="n"/>
      <c r="L15" s="5" t="n">
        <v>148911.99</v>
      </c>
      <c r="M15" s="5" t="n">
        <v>18311.61</v>
      </c>
      <c r="N15" s="6" t="n"/>
      <c r="O15" s="5" t="n">
        <v>51.83</v>
      </c>
      <c r="P15" s="6" t="n"/>
      <c r="Q15" s="5" t="n">
        <v>11872.53</v>
      </c>
      <c r="R15" s="5">
        <f>B15-J15</f>
        <v/>
      </c>
      <c r="S15" s="5">
        <f>C15-K15</f>
        <v/>
      </c>
      <c r="T15" s="5">
        <f>D15-L15</f>
        <v/>
      </c>
      <c r="U15" s="5">
        <f>E15-M15</f>
        <v/>
      </c>
      <c r="V15" s="5">
        <f>F15-N15</f>
        <v/>
      </c>
      <c r="W15" s="5">
        <f>G15-O15</f>
        <v/>
      </c>
      <c r="X15" s="5">
        <f>H15-P15</f>
        <v/>
      </c>
      <c r="Y15" s="5">
        <f>I15-Q15</f>
        <v/>
      </c>
      <c r="Z15" s="7">
        <f>A15</f>
        <v/>
      </c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s="4" t="n">
        <v>46095</v>
      </c>
      <c r="B16" s="5" t="n">
        <v>9646.41</v>
      </c>
      <c r="C16" s="6" t="n"/>
      <c r="D16" s="5" t="n">
        <v>225000.79</v>
      </c>
      <c r="E16" s="5" t="n">
        <v>530</v>
      </c>
      <c r="F16" s="6" t="n"/>
      <c r="G16" s="6" t="n"/>
      <c r="H16" s="5" t="n">
        <v>221491.72</v>
      </c>
      <c r="I16" s="5" t="n">
        <v>6467.18</v>
      </c>
      <c r="J16" s="5" t="n">
        <v>9646.41</v>
      </c>
      <c r="K16" s="6" t="n"/>
      <c r="L16" s="5" t="n">
        <v>225000.79</v>
      </c>
      <c r="M16" s="5" t="n">
        <v>530</v>
      </c>
      <c r="N16" s="6" t="n"/>
      <c r="O16" s="6" t="n"/>
      <c r="P16" s="6" t="n"/>
      <c r="Q16" s="5" t="n">
        <v>6467.18</v>
      </c>
      <c r="R16" s="5">
        <f>B16-J16</f>
        <v/>
      </c>
      <c r="S16" s="5">
        <f>C16-K16</f>
        <v/>
      </c>
      <c r="T16" s="5">
        <f>D16-L16</f>
        <v/>
      </c>
      <c r="U16" s="5">
        <f>E16-M16</f>
        <v/>
      </c>
      <c r="V16" s="5">
        <f>F16-N16</f>
        <v/>
      </c>
      <c r="W16" s="5">
        <f>G16-O16</f>
        <v/>
      </c>
      <c r="X16" s="5">
        <f>H16-P16</f>
        <v/>
      </c>
      <c r="Y16" s="5">
        <f>I16-Q16</f>
        <v/>
      </c>
      <c r="Z16" s="7">
        <f>A16</f>
        <v/>
      </c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s="4" t="n">
        <v>46096</v>
      </c>
      <c r="B17" s="5" t="n">
        <v>590336.02</v>
      </c>
      <c r="C17" s="6" t="n"/>
      <c r="D17" s="5" t="n">
        <v>2189647.76</v>
      </c>
      <c r="E17" s="6" t="n"/>
      <c r="F17" s="6" t="n"/>
      <c r="G17" s="5" t="n">
        <v>100329.4</v>
      </c>
      <c r="H17" s="5" t="n">
        <v>100838.56</v>
      </c>
      <c r="I17" s="5" t="n">
        <v>4160.87</v>
      </c>
      <c r="J17" s="5" t="n">
        <v>590336.02</v>
      </c>
      <c r="K17" s="6" t="n"/>
      <c r="L17" s="5" t="n">
        <v>2189647.76</v>
      </c>
      <c r="M17" s="6" t="n"/>
      <c r="N17" s="6" t="n"/>
      <c r="O17" s="5" t="n">
        <v>100329.4</v>
      </c>
      <c r="P17" s="6" t="n"/>
      <c r="Q17" s="5" t="n">
        <v>4160.87</v>
      </c>
      <c r="R17" s="5">
        <f>B17-J17</f>
        <v/>
      </c>
      <c r="S17" s="5">
        <f>C17-K17</f>
        <v/>
      </c>
      <c r="T17" s="5">
        <f>D17-L17</f>
        <v/>
      </c>
      <c r="U17" s="5">
        <f>E17-M17</f>
        <v/>
      </c>
      <c r="V17" s="5">
        <f>F17-N17</f>
        <v/>
      </c>
      <c r="W17" s="5">
        <f>G17-O17</f>
        <v/>
      </c>
      <c r="X17" s="5">
        <f>H17-P17</f>
        <v/>
      </c>
      <c r="Y17" s="5">
        <f>I17-Q17</f>
        <v/>
      </c>
      <c r="Z17" s="7">
        <f>A17</f>
        <v/>
      </c>
      <c r="AA17" s="6" t="n"/>
      <c r="AB17" s="6" t="n"/>
      <c r="AC17" s="5" t="n">
        <v>7666.12</v>
      </c>
      <c r="AD17" s="6" t="n"/>
      <c r="AE17" s="6" t="n"/>
      <c r="AF17" s="6" t="n"/>
      <c r="AG17" s="6" t="n"/>
      <c r="AH17" s="6" t="n"/>
    </row>
    <row r="18">
      <c r="A18" s="4" t="n">
        <v>46097</v>
      </c>
      <c r="B18" s="5" t="n">
        <v>45015.44</v>
      </c>
      <c r="C18" s="6" t="n"/>
      <c r="D18" s="5" t="n">
        <v>7253385.08</v>
      </c>
      <c r="E18" s="5" t="n">
        <v>38684.86</v>
      </c>
      <c r="F18" s="6" t="n"/>
      <c r="G18" s="5" t="n">
        <v>200601.93</v>
      </c>
      <c r="H18" s="5" t="n">
        <v>81795.8</v>
      </c>
      <c r="I18" s="5" t="n">
        <v>7466.19</v>
      </c>
      <c r="J18" s="5" t="n">
        <v>45015.44</v>
      </c>
      <c r="K18" s="6" t="n"/>
      <c r="L18" s="5" t="n">
        <v>7253385.08</v>
      </c>
      <c r="M18" s="5" t="n">
        <v>38684.86</v>
      </c>
      <c r="N18" s="6" t="n"/>
      <c r="O18" s="5" t="n">
        <v>200601.93</v>
      </c>
      <c r="P18" s="6" t="n"/>
      <c r="Q18" s="5" t="n">
        <v>7466.19</v>
      </c>
      <c r="R18" s="5">
        <f>B18-J18</f>
        <v/>
      </c>
      <c r="S18" s="5">
        <f>C18-K18</f>
        <v/>
      </c>
      <c r="T18" s="5">
        <f>D18-L18</f>
        <v/>
      </c>
      <c r="U18" s="5">
        <f>E18-M18</f>
        <v/>
      </c>
      <c r="V18" s="5">
        <f>F18-N18</f>
        <v/>
      </c>
      <c r="W18" s="5">
        <f>G18-O18</f>
        <v/>
      </c>
      <c r="X18" s="5">
        <f>H18-P18</f>
        <v/>
      </c>
      <c r="Y18" s="5">
        <f>I18-Q18</f>
        <v/>
      </c>
      <c r="Z18" s="7">
        <f>A18</f>
        <v/>
      </c>
      <c r="AA18" s="6" t="n"/>
      <c r="AB18" s="6" t="n"/>
      <c r="AC18" s="5" t="n">
        <v>172.44</v>
      </c>
      <c r="AD18" s="6" t="n"/>
      <c r="AE18" s="6" t="n"/>
      <c r="AF18" s="5" t="n">
        <v>1049.19</v>
      </c>
      <c r="AG18" s="6" t="n"/>
      <c r="AH18" s="6" t="n"/>
    </row>
    <row r="19">
      <c r="A19" s="4" t="n">
        <v>46098</v>
      </c>
      <c r="B19" s="5" t="n">
        <v>6360</v>
      </c>
      <c r="C19" s="6" t="n"/>
      <c r="D19" s="5" t="n">
        <v>494999.53</v>
      </c>
      <c r="E19" s="5" t="n">
        <v>288124.73</v>
      </c>
      <c r="F19" s="6" t="n"/>
      <c r="G19" s="5" t="n">
        <v>27000</v>
      </c>
      <c r="H19" s="5" t="n">
        <v>211246.22</v>
      </c>
      <c r="I19" s="5" t="n">
        <v>8811.57</v>
      </c>
      <c r="J19" s="5" t="n">
        <v>6360</v>
      </c>
      <c r="K19" s="6" t="n"/>
      <c r="L19" s="5" t="n">
        <v>494999.53</v>
      </c>
      <c r="M19" s="5" t="n">
        <v>288124.73</v>
      </c>
      <c r="N19" s="6" t="n"/>
      <c r="O19" s="5" t="n">
        <v>27000</v>
      </c>
      <c r="P19" s="6" t="n"/>
      <c r="Q19" s="5" t="n">
        <v>8811.57</v>
      </c>
      <c r="R19" s="5">
        <f>B19-J19</f>
        <v/>
      </c>
      <c r="S19" s="5">
        <f>C19-K19</f>
        <v/>
      </c>
      <c r="T19" s="5">
        <f>D19-L19</f>
        <v/>
      </c>
      <c r="U19" s="5">
        <f>E19-M19</f>
        <v/>
      </c>
      <c r="V19" s="5">
        <f>F19-N19</f>
        <v/>
      </c>
      <c r="W19" s="5">
        <f>G19-O19</f>
        <v/>
      </c>
      <c r="X19" s="5">
        <f>H19-P19</f>
        <v/>
      </c>
      <c r="Y19" s="5">
        <f>I19-Q19</f>
        <v/>
      </c>
      <c r="Z19" s="7">
        <f>A19</f>
        <v/>
      </c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s="4" t="n">
        <v>46099</v>
      </c>
      <c r="B20" s="5" t="n">
        <v>24734</v>
      </c>
      <c r="C20" s="6" t="n"/>
      <c r="D20" s="5" t="n">
        <v>420996.46</v>
      </c>
      <c r="E20" s="5" t="n">
        <v>80503.64999999999</v>
      </c>
      <c r="F20" s="6" t="n"/>
      <c r="G20" s="5" t="n">
        <v>90991.57000000001</v>
      </c>
      <c r="H20" s="5" t="n">
        <v>166149.84</v>
      </c>
      <c r="I20" s="5" t="n">
        <v>14892.62</v>
      </c>
      <c r="J20" s="5" t="n">
        <v>24734</v>
      </c>
      <c r="K20" s="6" t="n"/>
      <c r="L20" s="5" t="n">
        <v>420996.46</v>
      </c>
      <c r="M20" s="5" t="n">
        <v>80503.64999999999</v>
      </c>
      <c r="N20" s="6" t="n"/>
      <c r="O20" s="5" t="n">
        <v>90991.57000000001</v>
      </c>
      <c r="P20" s="6" t="n"/>
      <c r="Q20" s="5" t="n">
        <v>14892.62</v>
      </c>
      <c r="R20" s="5">
        <f>B20-J20</f>
        <v/>
      </c>
      <c r="S20" s="5">
        <f>C20-K20</f>
        <v/>
      </c>
      <c r="T20" s="5">
        <f>D20-L20</f>
        <v/>
      </c>
      <c r="U20" s="5">
        <f>E20-M20</f>
        <v/>
      </c>
      <c r="V20" s="5">
        <f>F20-N20</f>
        <v/>
      </c>
      <c r="W20" s="5">
        <f>G20-O20</f>
        <v/>
      </c>
      <c r="X20" s="5">
        <f>H20-P20</f>
        <v/>
      </c>
      <c r="Y20" s="5">
        <f>I20-Q20</f>
        <v/>
      </c>
      <c r="Z20" s="7">
        <f>A20</f>
        <v/>
      </c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s="4" t="n">
        <v>46100</v>
      </c>
      <c r="B21" s="5" t="n">
        <v>55010.34</v>
      </c>
      <c r="C21" s="6" t="n"/>
      <c r="D21" s="5" t="n">
        <v>177900.93</v>
      </c>
      <c r="E21" s="5" t="n">
        <v>17754.16</v>
      </c>
      <c r="F21" s="6" t="n"/>
      <c r="G21" s="6" t="n"/>
      <c r="H21" s="5" t="n">
        <v>241372.49</v>
      </c>
      <c r="I21" s="5" t="n">
        <v>14839.22</v>
      </c>
      <c r="J21" s="5" t="n">
        <v>55010.34</v>
      </c>
      <c r="K21" s="6" t="n"/>
      <c r="L21" s="5" t="n">
        <v>177900.93</v>
      </c>
      <c r="M21" s="5" t="n">
        <v>17754.16</v>
      </c>
      <c r="N21" s="6" t="n"/>
      <c r="O21" s="6" t="n"/>
      <c r="P21" s="6" t="n"/>
      <c r="Q21" s="5" t="n">
        <v>14839.22</v>
      </c>
      <c r="R21" s="5">
        <f>B21-J21</f>
        <v/>
      </c>
      <c r="S21" s="5">
        <f>C21-K21</f>
        <v/>
      </c>
      <c r="T21" s="5">
        <f>D21-L21</f>
        <v/>
      </c>
      <c r="U21" s="5">
        <f>E21-M21</f>
        <v/>
      </c>
      <c r="V21" s="5">
        <f>F21-N21</f>
        <v/>
      </c>
      <c r="W21" s="5">
        <f>G21-O21</f>
        <v/>
      </c>
      <c r="X21" s="5">
        <f>H21-P21</f>
        <v/>
      </c>
      <c r="Y21" s="5">
        <f>I21-Q21</f>
        <v/>
      </c>
      <c r="Z21" s="7">
        <f>A21</f>
        <v/>
      </c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s="4" t="n">
        <v>46101</v>
      </c>
      <c r="B22" s="5" t="n">
        <v>424021.88</v>
      </c>
      <c r="C22" s="6" t="n"/>
      <c r="D22" s="5" t="n">
        <v>11750377.68</v>
      </c>
      <c r="E22" s="5" t="n">
        <v>65289.42</v>
      </c>
      <c r="F22" s="6" t="n"/>
      <c r="G22" s="5" t="n">
        <v>9064.67</v>
      </c>
      <c r="H22" s="5" t="n">
        <v>232409.1</v>
      </c>
      <c r="I22" s="5" t="n">
        <v>8303.82</v>
      </c>
      <c r="J22" s="5" t="n">
        <v>424021.88</v>
      </c>
      <c r="K22" s="6" t="n"/>
      <c r="L22" s="5" t="n">
        <v>11750377.68</v>
      </c>
      <c r="M22" s="5" t="n">
        <v>65289.42</v>
      </c>
      <c r="N22" s="6" t="n"/>
      <c r="O22" s="5" t="n">
        <v>9064.67</v>
      </c>
      <c r="P22" s="6" t="n"/>
      <c r="Q22" s="5" t="n">
        <v>8303.82</v>
      </c>
      <c r="R22" s="5">
        <f>B22-J22</f>
        <v/>
      </c>
      <c r="S22" s="5">
        <f>C22-K22</f>
        <v/>
      </c>
      <c r="T22" s="5">
        <f>D22-L22</f>
        <v/>
      </c>
      <c r="U22" s="5">
        <f>E22-M22</f>
        <v/>
      </c>
      <c r="V22" s="5">
        <f>F22-N22</f>
        <v/>
      </c>
      <c r="W22" s="5">
        <f>G22-O22</f>
        <v/>
      </c>
      <c r="X22" s="5">
        <f>H22-P22</f>
        <v/>
      </c>
      <c r="Y22" s="5">
        <f>I22-Q22</f>
        <v/>
      </c>
      <c r="Z22" s="7">
        <f>A22</f>
        <v/>
      </c>
      <c r="AA22" s="6" t="n"/>
      <c r="AB22" s="6" t="n"/>
      <c r="AC22" s="5" t="n">
        <v>341.07</v>
      </c>
      <c r="AD22" s="6" t="n"/>
      <c r="AE22" s="6" t="n"/>
      <c r="AF22" s="6" t="n"/>
      <c r="AG22" s="6" t="n"/>
      <c r="AH22" s="6" t="n"/>
    </row>
    <row r="23">
      <c r="A23" s="4" t="n">
        <v>46102</v>
      </c>
      <c r="B23" s="6" t="n"/>
      <c r="C23" s="6" t="n"/>
      <c r="D23" s="5" t="n">
        <v>42323.28</v>
      </c>
      <c r="E23" s="5" t="n">
        <v>550</v>
      </c>
      <c r="F23" s="6" t="n"/>
      <c r="G23" s="6" t="n"/>
      <c r="H23" s="5" t="n">
        <v>226956.55</v>
      </c>
      <c r="I23" s="5" t="n">
        <v>6765.97</v>
      </c>
      <c r="J23" s="6" t="n"/>
      <c r="K23" s="6" t="n"/>
      <c r="L23" s="5" t="n">
        <v>42323.28</v>
      </c>
      <c r="M23" s="5" t="n">
        <v>550</v>
      </c>
      <c r="N23" s="6" t="n"/>
      <c r="O23" s="6" t="n"/>
      <c r="P23" s="6" t="n"/>
      <c r="Q23" s="5" t="n">
        <v>6765.97</v>
      </c>
      <c r="R23" s="5">
        <f>B23-J23</f>
        <v/>
      </c>
      <c r="S23" s="5">
        <f>C23-K23</f>
        <v/>
      </c>
      <c r="T23" s="5">
        <f>D23-L23</f>
        <v/>
      </c>
      <c r="U23" s="5">
        <f>E23-M23</f>
        <v/>
      </c>
      <c r="V23" s="5">
        <f>F23-N23</f>
        <v/>
      </c>
      <c r="W23" s="5">
        <f>G23-O23</f>
        <v/>
      </c>
      <c r="X23" s="5">
        <f>H23-P23</f>
        <v/>
      </c>
      <c r="Y23" s="5">
        <f>I23-Q23</f>
        <v/>
      </c>
      <c r="Z23" s="7">
        <f>A23</f>
        <v/>
      </c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s="4" t="n">
        <v>46103</v>
      </c>
      <c r="B24" s="6" t="n"/>
      <c r="C24" s="6" t="n"/>
      <c r="D24" s="5" t="n">
        <v>291913.16</v>
      </c>
      <c r="E24" s="5" t="n">
        <v>750</v>
      </c>
      <c r="F24" s="6" t="n"/>
      <c r="G24" s="5" t="n">
        <v>155.87</v>
      </c>
      <c r="H24" s="5" t="n">
        <v>118607.8</v>
      </c>
      <c r="I24" s="5" t="n">
        <v>3238.24</v>
      </c>
      <c r="J24" s="6" t="n"/>
      <c r="K24" s="6" t="n"/>
      <c r="L24" s="5" t="n">
        <v>291913.16</v>
      </c>
      <c r="M24" s="5" t="n">
        <v>750</v>
      </c>
      <c r="N24" s="6" t="n"/>
      <c r="O24" s="5" t="n">
        <v>155.87</v>
      </c>
      <c r="P24" s="6" t="n"/>
      <c r="Q24" s="5" t="n">
        <v>3238.24</v>
      </c>
      <c r="R24" s="5">
        <f>B24-J24</f>
        <v/>
      </c>
      <c r="S24" s="5">
        <f>C24-K24</f>
        <v/>
      </c>
      <c r="T24" s="5">
        <f>D24-L24</f>
        <v/>
      </c>
      <c r="U24" s="5">
        <f>E24-M24</f>
        <v/>
      </c>
      <c r="V24" s="5">
        <f>F24-N24</f>
        <v/>
      </c>
      <c r="W24" s="5">
        <f>G24-O24</f>
        <v/>
      </c>
      <c r="X24" s="5">
        <f>H24-P24</f>
        <v/>
      </c>
      <c r="Y24" s="5">
        <f>I24-Q24</f>
        <v/>
      </c>
      <c r="Z24" s="7">
        <f>A24</f>
        <v/>
      </c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s="4" t="n">
        <v>46104</v>
      </c>
      <c r="B25" s="5" t="n">
        <v>23379.85</v>
      </c>
      <c r="C25" s="6" t="n"/>
      <c r="D25" s="5" t="n">
        <v>643560.35</v>
      </c>
      <c r="E25" s="5" t="n">
        <v>17391.94</v>
      </c>
      <c r="F25" s="6" t="n"/>
      <c r="G25" s="5" t="n">
        <v>2333.92</v>
      </c>
      <c r="H25" s="5" t="n">
        <v>57923.86</v>
      </c>
      <c r="I25" s="5" t="n">
        <v>2617.26</v>
      </c>
      <c r="J25" s="5" t="n">
        <v>23379.85</v>
      </c>
      <c r="K25" s="6" t="n"/>
      <c r="L25" s="5" t="n">
        <v>643560.35</v>
      </c>
      <c r="M25" s="5" t="n">
        <v>17391.94</v>
      </c>
      <c r="N25" s="6" t="n"/>
      <c r="O25" s="5" t="n">
        <v>2333.92</v>
      </c>
      <c r="P25" s="6" t="n"/>
      <c r="Q25" s="5" t="n">
        <v>2617.26</v>
      </c>
      <c r="R25" s="5">
        <f>B25-J25</f>
        <v/>
      </c>
      <c r="S25" s="5">
        <f>C25-K25</f>
        <v/>
      </c>
      <c r="T25" s="5">
        <f>D25-L25</f>
        <v/>
      </c>
      <c r="U25" s="5">
        <f>E25-M25</f>
        <v/>
      </c>
      <c r="V25" s="5">
        <f>F25-N25</f>
        <v/>
      </c>
      <c r="W25" s="5">
        <f>G25-O25</f>
        <v/>
      </c>
      <c r="X25" s="5">
        <f>H25-P25</f>
        <v/>
      </c>
      <c r="Y25" s="5">
        <f>I25-Q25</f>
        <v/>
      </c>
      <c r="Z25" s="7">
        <f>A25</f>
        <v/>
      </c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s="4" t="n">
        <v>46105</v>
      </c>
      <c r="B26" s="5" t="n">
        <v>35006.34</v>
      </c>
      <c r="C26" s="6" t="n"/>
      <c r="D26" s="5" t="n">
        <v>227546.29</v>
      </c>
      <c r="E26" s="5" t="n">
        <v>73199.89</v>
      </c>
      <c r="F26" s="6" t="n"/>
      <c r="G26" s="6" t="n"/>
      <c r="H26" s="5" t="n">
        <v>208266.54</v>
      </c>
      <c r="I26" s="5" t="n">
        <v>2997.09</v>
      </c>
      <c r="J26" s="5" t="n">
        <v>35006.34</v>
      </c>
      <c r="K26" s="6" t="n"/>
      <c r="L26" s="5" t="n">
        <v>227546.29</v>
      </c>
      <c r="M26" s="5" t="n">
        <v>73199.89</v>
      </c>
      <c r="N26" s="6" t="n"/>
      <c r="O26" s="6" t="n"/>
      <c r="P26" s="6" t="n"/>
      <c r="Q26" s="5" t="n">
        <v>2997.09</v>
      </c>
      <c r="R26" s="5">
        <f>B26-J26</f>
        <v/>
      </c>
      <c r="S26" s="5">
        <f>C26-K26</f>
        <v/>
      </c>
      <c r="T26" s="5">
        <f>D26-L26</f>
        <v/>
      </c>
      <c r="U26" s="5">
        <f>E26-M26</f>
        <v/>
      </c>
      <c r="V26" s="5">
        <f>F26-N26</f>
        <v/>
      </c>
      <c r="W26" s="5">
        <f>G26-O26</f>
        <v/>
      </c>
      <c r="X26" s="5">
        <f>H26-P26</f>
        <v/>
      </c>
      <c r="Y26" s="5">
        <f>I26-Q26</f>
        <v/>
      </c>
      <c r="Z26" s="7">
        <f>A26</f>
        <v/>
      </c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s="4" t="n">
        <v>46106</v>
      </c>
      <c r="B27" s="5" t="n">
        <v>344193.35</v>
      </c>
      <c r="C27" s="6" t="n"/>
      <c r="D27" s="5" t="n">
        <v>1837914.01</v>
      </c>
      <c r="E27" s="5" t="n">
        <v>61196.69</v>
      </c>
      <c r="F27" s="6" t="n"/>
      <c r="G27" s="5" t="n">
        <v>7883.01</v>
      </c>
      <c r="H27" s="5" t="n">
        <v>244786.26</v>
      </c>
      <c r="I27" s="5" t="n">
        <v>2806.26</v>
      </c>
      <c r="J27" s="5" t="n">
        <v>344193.35</v>
      </c>
      <c r="K27" s="6" t="n"/>
      <c r="L27" s="5" t="n">
        <v>1837914.01</v>
      </c>
      <c r="M27" s="5" t="n">
        <v>61196.69</v>
      </c>
      <c r="N27" s="6" t="n"/>
      <c r="O27" s="5" t="n">
        <v>7883.01</v>
      </c>
      <c r="P27" s="6" t="n"/>
      <c r="Q27" s="5" t="n">
        <v>2806.26</v>
      </c>
      <c r="R27" s="5">
        <f>B27-J27</f>
        <v/>
      </c>
      <c r="S27" s="5">
        <f>C27-K27</f>
        <v/>
      </c>
      <c r="T27" s="5">
        <f>D27-L27</f>
        <v/>
      </c>
      <c r="U27" s="5">
        <f>E27-M27</f>
        <v/>
      </c>
      <c r="V27" s="5">
        <f>F27-N27</f>
        <v/>
      </c>
      <c r="W27" s="5">
        <f>G27-O27</f>
        <v/>
      </c>
      <c r="X27" s="5">
        <f>H27-P27</f>
        <v/>
      </c>
      <c r="Y27" s="5">
        <f>I27-Q27</f>
        <v/>
      </c>
      <c r="Z27" s="7">
        <f>A27</f>
        <v/>
      </c>
      <c r="AA27" s="6" t="n"/>
      <c r="AB27" s="6" t="n"/>
      <c r="AC27" s="6" t="n"/>
      <c r="AD27" s="6" t="n"/>
      <c r="AE27" s="5" t="n">
        <v>1967771.44</v>
      </c>
      <c r="AF27" s="6" t="n"/>
      <c r="AG27" s="6" t="n"/>
      <c r="AH27" s="6" t="n"/>
    </row>
    <row r="28">
      <c r="A28" s="4" t="n">
        <v>46107</v>
      </c>
      <c r="B28" s="6" t="n"/>
      <c r="C28" s="6" t="n"/>
      <c r="D28" s="5" t="n">
        <v>154356.76</v>
      </c>
      <c r="E28" s="5" t="n">
        <v>17351.9</v>
      </c>
      <c r="F28" s="6" t="n"/>
      <c r="G28" s="6" t="n"/>
      <c r="H28" s="5" t="n">
        <v>200960.61</v>
      </c>
      <c r="I28" s="5" t="n">
        <v>4844.51</v>
      </c>
      <c r="J28" s="6" t="n"/>
      <c r="K28" s="6" t="n"/>
      <c r="L28" s="5" t="n">
        <v>154356.76</v>
      </c>
      <c r="M28" s="5" t="n">
        <v>17351.9</v>
      </c>
      <c r="N28" s="6" t="n"/>
      <c r="O28" s="6" t="n"/>
      <c r="P28" s="6" t="n"/>
      <c r="Q28" s="5" t="n">
        <v>4844.51</v>
      </c>
      <c r="R28" s="5">
        <f>B28-J28</f>
        <v/>
      </c>
      <c r="S28" s="5">
        <f>C28-K28</f>
        <v/>
      </c>
      <c r="T28" s="5">
        <f>D28-L28</f>
        <v/>
      </c>
      <c r="U28" s="5">
        <f>E28-M28</f>
        <v/>
      </c>
      <c r="V28" s="5">
        <f>F28-N28</f>
        <v/>
      </c>
      <c r="W28" s="5">
        <f>G28-O28</f>
        <v/>
      </c>
      <c r="X28" s="5">
        <f>H28-P28</f>
        <v/>
      </c>
      <c r="Y28" s="5">
        <f>I28-Q28</f>
        <v/>
      </c>
      <c r="Z28" s="7">
        <f>A28</f>
        <v/>
      </c>
      <c r="AA28" s="6" t="n"/>
      <c r="AB28" s="6" t="n"/>
      <c r="AC28" s="5" t="n">
        <v>0.5</v>
      </c>
      <c r="AD28" s="6" t="n"/>
      <c r="AE28" s="6" t="n"/>
      <c r="AF28" s="6" t="n"/>
      <c r="AG28" s="6" t="n"/>
      <c r="AH28" s="6" t="n"/>
    </row>
    <row r="29">
      <c r="A29" s="4" t="n">
        <v>46108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5">
        <f>B29-J29</f>
        <v/>
      </c>
      <c r="S29" s="5">
        <f>C29-K29</f>
        <v/>
      </c>
      <c r="T29" s="5">
        <f>D29-L29</f>
        <v/>
      </c>
      <c r="U29" s="5">
        <f>E29-M29</f>
        <v/>
      </c>
      <c r="V29" s="5">
        <f>F29-N29</f>
        <v/>
      </c>
      <c r="W29" s="5">
        <f>G29-O29</f>
        <v/>
      </c>
      <c r="X29" s="5">
        <f>H29-P29</f>
        <v/>
      </c>
      <c r="Y29" s="5">
        <f>I29-Q29</f>
        <v/>
      </c>
      <c r="Z29" s="7">
        <f>A29</f>
        <v/>
      </c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s="4" t="n">
        <v>46109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">
        <f>B30-J30</f>
        <v/>
      </c>
      <c r="S30" s="5">
        <f>C30-K30</f>
        <v/>
      </c>
      <c r="T30" s="5">
        <f>D30-L30</f>
        <v/>
      </c>
      <c r="U30" s="5">
        <f>E30-M30</f>
        <v/>
      </c>
      <c r="V30" s="5">
        <f>F30-N30</f>
        <v/>
      </c>
      <c r="W30" s="5">
        <f>G30-O30</f>
        <v/>
      </c>
      <c r="X30" s="5">
        <f>H30-P30</f>
        <v/>
      </c>
      <c r="Y30" s="5">
        <f>I30-Q30</f>
        <v/>
      </c>
      <c r="Z30" s="7">
        <f>A30</f>
        <v/>
      </c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s="4" t="n">
        <v>46110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">
        <f>B31-J31</f>
        <v/>
      </c>
      <c r="S31" s="5">
        <f>C31-K31</f>
        <v/>
      </c>
      <c r="T31" s="5">
        <f>D31-L31</f>
        <v/>
      </c>
      <c r="U31" s="5">
        <f>E31-M31</f>
        <v/>
      </c>
      <c r="V31" s="5">
        <f>F31-N31</f>
        <v/>
      </c>
      <c r="W31" s="5">
        <f>G31-O31</f>
        <v/>
      </c>
      <c r="X31" s="5">
        <f>H31-P31</f>
        <v/>
      </c>
      <c r="Y31" s="5">
        <f>I31-Q31</f>
        <v/>
      </c>
      <c r="Z31" s="7">
        <f>A31</f>
        <v/>
      </c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s="4" t="n">
        <v>46111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">
        <f>B32-J32</f>
        <v/>
      </c>
      <c r="S32" s="5">
        <f>C32-K32</f>
        <v/>
      </c>
      <c r="T32" s="5">
        <f>D32-L32</f>
        <v/>
      </c>
      <c r="U32" s="5">
        <f>E32-M32</f>
        <v/>
      </c>
      <c r="V32" s="5">
        <f>F32-N32</f>
        <v/>
      </c>
      <c r="W32" s="5">
        <f>G32-O32</f>
        <v/>
      </c>
      <c r="X32" s="5">
        <f>H32-P32</f>
        <v/>
      </c>
      <c r="Y32" s="5">
        <f>I32-Q32</f>
        <v/>
      </c>
      <c r="Z32" s="7">
        <f>A32</f>
        <v/>
      </c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s="4" t="n">
        <v>46112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5">
        <f>B33-J33</f>
        <v/>
      </c>
      <c r="S33" s="5">
        <f>C33-K33</f>
        <v/>
      </c>
      <c r="T33" s="5">
        <f>D33-L33</f>
        <v/>
      </c>
      <c r="U33" s="5">
        <f>E33-M33</f>
        <v/>
      </c>
      <c r="V33" s="5">
        <f>F33-N33</f>
        <v/>
      </c>
      <c r="W33" s="5">
        <f>G33-O33</f>
        <v/>
      </c>
      <c r="X33" s="5">
        <f>H33-P33</f>
        <v/>
      </c>
      <c r="Y33" s="5">
        <f>I33-Q33</f>
        <v/>
      </c>
      <c r="Z33" s="7">
        <f>A33</f>
        <v/>
      </c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s="8" t="inlineStr">
        <is>
          <t>TOTAL</t>
        </is>
      </c>
      <c r="B34" s="9">
        <f>SUM(B3:B33)</f>
        <v/>
      </c>
      <c r="C34" s="9">
        <f>SUM(C3:C33)</f>
        <v/>
      </c>
      <c r="D34" s="9">
        <f>SUM(D3:D33)</f>
        <v/>
      </c>
      <c r="E34" s="9">
        <f>SUM(E3:E33)</f>
        <v/>
      </c>
      <c r="F34" s="9">
        <f>SUM(F3:F33)</f>
        <v/>
      </c>
      <c r="G34" s="9">
        <f>SUM(G3:G33)</f>
        <v/>
      </c>
      <c r="H34" s="9">
        <f>SUM(H3:H33)</f>
        <v/>
      </c>
      <c r="I34" s="9">
        <f>SUM(I3:I33)</f>
        <v/>
      </c>
      <c r="J34" s="9">
        <f>SUM(J3:J33)</f>
        <v/>
      </c>
      <c r="K34" s="9">
        <f>SUM(K3:K33)</f>
        <v/>
      </c>
      <c r="L34" s="9">
        <f>SUM(L3:L33)</f>
        <v/>
      </c>
      <c r="M34" s="9">
        <f>SUM(M3:M33)</f>
        <v/>
      </c>
      <c r="N34" s="9">
        <f>SUM(N3:N33)</f>
        <v/>
      </c>
      <c r="O34" s="9">
        <f>SUM(O3:O33)</f>
        <v/>
      </c>
      <c r="P34" s="9">
        <f>SUM(P3:P33)</f>
        <v/>
      </c>
      <c r="Q34" s="9">
        <f>SUM(Q3:Q33)</f>
        <v/>
      </c>
      <c r="R34" s="9">
        <f>SUM(R3:R33)</f>
        <v/>
      </c>
      <c r="S34" s="9">
        <f>SUM(S3:S33)</f>
        <v/>
      </c>
      <c r="T34" s="9">
        <f>SUM(T3:T33)</f>
        <v/>
      </c>
      <c r="U34" s="9">
        <f>SUM(U3:U33)</f>
        <v/>
      </c>
      <c r="V34" s="9">
        <f>SUM(V3:V33)</f>
        <v/>
      </c>
      <c r="W34" s="9">
        <f>SUM(W3:W33)</f>
        <v/>
      </c>
      <c r="X34" s="9">
        <f>SUM(X3:X33)</f>
        <v/>
      </c>
      <c r="Y34" s="9">
        <f>SUM(Y3:Y33)</f>
        <v/>
      </c>
      <c r="AA34" s="9">
        <f>SUM(AA3:AA33)</f>
        <v/>
      </c>
      <c r="AB34" s="9">
        <f>SUM(AB3:AB33)</f>
        <v/>
      </c>
      <c r="AC34" s="9">
        <f>SUM(AC3:AC33)</f>
        <v/>
      </c>
      <c r="AD34" s="9">
        <f>SUM(AD3:AD33)</f>
        <v/>
      </c>
      <c r="AE34" s="9">
        <f>SUM(AE3:AE33)</f>
        <v/>
      </c>
      <c r="AF34" s="9">
        <f>SUM(AF3:AF33)</f>
        <v/>
      </c>
      <c r="AG34" s="9">
        <f>SUM(AG3:AG33)</f>
        <v/>
      </c>
      <c r="AH34" s="9">
        <f>SUM(AH3:AH33)</f>
        <v/>
      </c>
    </row>
  </sheetData>
  <mergeCells count="4">
    <mergeCell ref="B1:I1"/>
    <mergeCell ref="J1:Q1"/>
    <mergeCell ref="AA1:AH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5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</cols>
  <sheetData>
    <row r="1">
      <c r="B1" s="1" t="inlineStr">
        <is>
          <t>GIS</t>
        </is>
      </c>
      <c r="O1" s="1" t="inlineStr">
        <is>
          <t>CONTAS A PAGAR - MATERA</t>
        </is>
      </c>
      <c r="AB1" s="1" t="inlineStr">
        <is>
          <t>CONCILIAÇÃO</t>
        </is>
      </c>
      <c r="AP1" s="1" t="inlineStr">
        <is>
          <t>NÃO INTEGRADO NO GIS</t>
        </is>
      </c>
    </row>
    <row r="2">
      <c r="A2" s="2" t="inlineStr">
        <is>
          <t>DATA</t>
        </is>
      </c>
      <c r="B2" s="2" t="inlineStr">
        <is>
          <t>COR</t>
        </is>
      </c>
      <c r="C2" s="2" t="inlineStr">
        <is>
          <t>FLX</t>
        </is>
      </c>
      <c r="D2" s="2" t="inlineStr">
        <is>
          <t>GC</t>
        </is>
      </c>
      <c r="E2" s="2" t="inlineStr">
        <is>
          <t>MB</t>
        </is>
      </c>
      <c r="F2" s="2" t="inlineStr">
        <is>
          <t>NP</t>
        </is>
      </c>
      <c r="G2" s="2" t="inlineStr">
        <is>
          <t>SOC</t>
        </is>
      </c>
      <c r="H2" s="2" t="inlineStr">
        <is>
          <t>VA</t>
        </is>
      </c>
      <c r="I2" s="2" t="inlineStr">
        <is>
          <t>VAE</t>
        </is>
      </c>
      <c r="J2" s="2" t="inlineStr">
        <is>
          <t>VC</t>
        </is>
      </c>
      <c r="K2" s="2" t="inlineStr">
        <is>
          <t>VCE</t>
        </is>
      </c>
      <c r="L2" s="2" t="inlineStr">
        <is>
          <t>VR</t>
        </is>
      </c>
      <c r="M2" s="2" t="inlineStr">
        <is>
          <t>VRE</t>
        </is>
      </c>
      <c r="N2" s="2" t="inlineStr">
        <is>
          <t>YUO</t>
        </is>
      </c>
      <c r="O2" s="2" t="inlineStr">
        <is>
          <t>COR</t>
        </is>
      </c>
      <c r="P2" s="2" t="inlineStr">
        <is>
          <t>FLX</t>
        </is>
      </c>
      <c r="Q2" s="2" t="inlineStr">
        <is>
          <t>GC</t>
        </is>
      </c>
      <c r="R2" s="2" t="inlineStr">
        <is>
          <t>MB</t>
        </is>
      </c>
      <c r="S2" s="2" t="inlineStr">
        <is>
          <t>NP</t>
        </is>
      </c>
      <c r="T2" s="2" t="inlineStr">
        <is>
          <t>SOC</t>
        </is>
      </c>
      <c r="U2" s="2" t="inlineStr">
        <is>
          <t>VA</t>
        </is>
      </c>
      <c r="V2" s="2" t="inlineStr">
        <is>
          <t>VAE</t>
        </is>
      </c>
      <c r="W2" s="2" t="inlineStr">
        <is>
          <t>VC</t>
        </is>
      </c>
      <c r="X2" s="2" t="inlineStr">
        <is>
          <t>VCE</t>
        </is>
      </c>
      <c r="Y2" s="2" t="inlineStr">
        <is>
          <t>VR</t>
        </is>
      </c>
      <c r="Z2" s="2" t="inlineStr">
        <is>
          <t>VRE</t>
        </is>
      </c>
      <c r="AA2" s="2" t="inlineStr">
        <is>
          <t>YUO</t>
        </is>
      </c>
      <c r="AB2" s="2" t="inlineStr">
        <is>
          <t>COR</t>
        </is>
      </c>
      <c r="AC2" s="2" t="inlineStr">
        <is>
          <t>FLX</t>
        </is>
      </c>
      <c r="AD2" s="2" t="inlineStr">
        <is>
          <t>GC</t>
        </is>
      </c>
      <c r="AE2" s="2" t="inlineStr">
        <is>
          <t>MB</t>
        </is>
      </c>
      <c r="AF2" s="2" t="inlineStr">
        <is>
          <t>NP</t>
        </is>
      </c>
      <c r="AG2" s="2" t="inlineStr">
        <is>
          <t>SOC</t>
        </is>
      </c>
      <c r="AH2" s="2" t="inlineStr">
        <is>
          <t>VA</t>
        </is>
      </c>
      <c r="AI2" s="2" t="inlineStr">
        <is>
          <t>VAE</t>
        </is>
      </c>
      <c r="AJ2" s="2" t="inlineStr">
        <is>
          <t>VC</t>
        </is>
      </c>
      <c r="AK2" s="2" t="inlineStr">
        <is>
          <t>VCE</t>
        </is>
      </c>
      <c r="AL2" s="2" t="inlineStr">
        <is>
          <t>VR</t>
        </is>
      </c>
      <c r="AM2" s="2" t="inlineStr">
        <is>
          <t>VRE</t>
        </is>
      </c>
      <c r="AN2" s="2" t="inlineStr">
        <is>
          <t>YUO</t>
        </is>
      </c>
      <c r="AO2" s="2" t="inlineStr">
        <is>
          <t>DATA</t>
        </is>
      </c>
      <c r="AP2" s="3" t="inlineStr">
        <is>
          <t>COR</t>
        </is>
      </c>
      <c r="AQ2" s="3" t="inlineStr">
        <is>
          <t>FLX</t>
        </is>
      </c>
      <c r="AR2" s="3" t="inlineStr">
        <is>
          <t>GC</t>
        </is>
      </c>
      <c r="AS2" s="3" t="inlineStr">
        <is>
          <t>MB</t>
        </is>
      </c>
      <c r="AT2" s="3" t="inlineStr">
        <is>
          <t>NP</t>
        </is>
      </c>
      <c r="AU2" s="3" t="inlineStr">
        <is>
          <t>SOC</t>
        </is>
      </c>
      <c r="AV2" s="3" t="inlineStr">
        <is>
          <t>VA</t>
        </is>
      </c>
      <c r="AW2" s="3" t="inlineStr">
        <is>
          <t>VAE</t>
        </is>
      </c>
      <c r="AX2" s="3" t="inlineStr">
        <is>
          <t>VC</t>
        </is>
      </c>
      <c r="AY2" s="3" t="inlineStr">
        <is>
          <t>VCE</t>
        </is>
      </c>
      <c r="AZ2" s="3" t="inlineStr">
        <is>
          <t>VR</t>
        </is>
      </c>
      <c r="BA2" s="3" t="inlineStr">
        <is>
          <t>VRE</t>
        </is>
      </c>
      <c r="BB2" s="3" t="inlineStr">
        <is>
          <t>YUO</t>
        </is>
      </c>
    </row>
    <row r="3">
      <c r="A3" s="4" t="n">
        <v>46082</v>
      </c>
      <c r="B3" s="5" t="n">
        <v>239884.84</v>
      </c>
      <c r="C3" s="5" t="n">
        <v>21149.01</v>
      </c>
      <c r="D3" s="5" t="n">
        <v>182963.3</v>
      </c>
      <c r="E3" s="5" t="n">
        <v>43153.81</v>
      </c>
      <c r="F3" s="5" t="n">
        <v>90816.67999999999</v>
      </c>
      <c r="G3" s="5" t="n">
        <v>15.49</v>
      </c>
      <c r="H3" s="6" t="n"/>
      <c r="I3" s="5" t="n">
        <v>838028.85</v>
      </c>
      <c r="J3" s="6" t="n"/>
      <c r="K3" s="5" t="n">
        <v>139106.53</v>
      </c>
      <c r="L3" s="6" t="n"/>
      <c r="M3" s="5" t="n">
        <v>12161.83</v>
      </c>
      <c r="N3" s="5" t="n">
        <v>588187.61</v>
      </c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5">
        <f>B3-O3</f>
        <v/>
      </c>
      <c r="AC3" s="5">
        <f>C3-P3</f>
        <v/>
      </c>
      <c r="AD3" s="5">
        <f>D3-Q3</f>
        <v/>
      </c>
      <c r="AE3" s="5">
        <f>E3-R3</f>
        <v/>
      </c>
      <c r="AF3" s="5">
        <f>F3-S3</f>
        <v/>
      </c>
      <c r="AG3" s="5">
        <f>G3-T3</f>
        <v/>
      </c>
      <c r="AH3" s="5">
        <f>H3-U3</f>
        <v/>
      </c>
      <c r="AI3" s="5">
        <f>I3-V3</f>
        <v/>
      </c>
      <c r="AJ3" s="5">
        <f>J3-W3</f>
        <v/>
      </c>
      <c r="AK3" s="5">
        <f>K3-X3</f>
        <v/>
      </c>
      <c r="AL3" s="5">
        <f>L3-Y3</f>
        <v/>
      </c>
      <c r="AM3" s="5">
        <f>M3-Z3</f>
        <v/>
      </c>
      <c r="AN3" s="5">
        <f>N3-AA3</f>
        <v/>
      </c>
      <c r="AO3" s="7">
        <f>A3</f>
        <v/>
      </c>
      <c r="AP3" s="6" t="n"/>
      <c r="AQ3" s="6" t="n"/>
      <c r="AR3" s="6" t="n"/>
      <c r="AS3" s="6" t="n"/>
      <c r="AT3" s="5" t="n">
        <v>207</v>
      </c>
      <c r="AU3" s="6" t="n"/>
      <c r="AV3" s="6" t="n"/>
      <c r="AW3" s="6" t="n"/>
      <c r="AX3" s="6" t="n"/>
      <c r="AY3" s="6" t="n"/>
      <c r="AZ3" s="6" t="n"/>
      <c r="BA3" s="6" t="n"/>
      <c r="BB3" s="6" t="n"/>
    </row>
    <row r="4">
      <c r="A4" s="4" t="n">
        <v>46083</v>
      </c>
      <c r="B4" s="5" t="n">
        <v>142242.08</v>
      </c>
      <c r="C4" s="5" t="n">
        <v>15701.42</v>
      </c>
      <c r="D4" s="6" t="n"/>
      <c r="E4" s="5" t="n">
        <v>49400.18</v>
      </c>
      <c r="F4" s="5" t="n">
        <v>214777.68</v>
      </c>
      <c r="G4" s="6" t="n"/>
      <c r="H4" s="5" t="n">
        <v>3978</v>
      </c>
      <c r="I4" s="5" t="n">
        <v>1307257.81</v>
      </c>
      <c r="J4" s="5" t="n">
        <v>47190</v>
      </c>
      <c r="K4" s="5" t="n">
        <v>18261.3</v>
      </c>
      <c r="L4" s="5" t="n">
        <v>191105</v>
      </c>
      <c r="M4" s="5" t="n">
        <v>66147.13</v>
      </c>
      <c r="N4" s="5" t="n">
        <v>412930.1</v>
      </c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5">
        <f>B4-O4</f>
        <v/>
      </c>
      <c r="AC4" s="5">
        <f>C4-P4</f>
        <v/>
      </c>
      <c r="AD4" s="5">
        <f>D4-Q4</f>
        <v/>
      </c>
      <c r="AE4" s="5">
        <f>E4-R4</f>
        <v/>
      </c>
      <c r="AF4" s="5">
        <f>F4-S4</f>
        <v/>
      </c>
      <c r="AG4" s="5">
        <f>G4-T4</f>
        <v/>
      </c>
      <c r="AH4" s="5">
        <f>H4-U4</f>
        <v/>
      </c>
      <c r="AI4" s="5">
        <f>I4-V4</f>
        <v/>
      </c>
      <c r="AJ4" s="5">
        <f>J4-W4</f>
        <v/>
      </c>
      <c r="AK4" s="5">
        <f>K4-X4</f>
        <v/>
      </c>
      <c r="AL4" s="5">
        <f>L4-Y4</f>
        <v/>
      </c>
      <c r="AM4" s="5">
        <f>M4-Z4</f>
        <v/>
      </c>
      <c r="AN4" s="5">
        <f>N4-AA4</f>
        <v/>
      </c>
      <c r="AO4" s="7">
        <f>A4</f>
        <v/>
      </c>
      <c r="AP4" s="6" t="n"/>
      <c r="AQ4" s="6" t="n"/>
      <c r="AR4" s="6" t="n"/>
      <c r="AS4" s="6" t="n"/>
      <c r="AT4" s="5" t="n">
        <v>578.89</v>
      </c>
      <c r="AU4" s="6" t="n"/>
      <c r="AV4" s="6" t="n"/>
      <c r="AW4" s="6" t="n"/>
      <c r="AX4" s="6" t="n"/>
      <c r="AY4" s="6" t="n"/>
      <c r="AZ4" s="6" t="n"/>
      <c r="BA4" s="6" t="n"/>
      <c r="BB4" s="6" t="n"/>
    </row>
    <row r="5">
      <c r="A5" s="4" t="n">
        <v>46084</v>
      </c>
      <c r="B5" s="5" t="n">
        <v>492953.82</v>
      </c>
      <c r="C5" s="5" t="n">
        <v>15712.65</v>
      </c>
      <c r="D5" s="6" t="n"/>
      <c r="E5" s="5" t="n">
        <v>10467.85</v>
      </c>
      <c r="F5" s="5" t="n">
        <v>133133.86</v>
      </c>
      <c r="G5" s="6" t="n"/>
      <c r="H5" s="5" t="n">
        <v>4988</v>
      </c>
      <c r="I5" s="5" t="n">
        <v>946590.53</v>
      </c>
      <c r="J5" s="5" t="n">
        <v>11390</v>
      </c>
      <c r="K5" s="5" t="n">
        <v>6869.46</v>
      </c>
      <c r="L5" s="5" t="n">
        <v>35901</v>
      </c>
      <c r="M5" s="5" t="n">
        <v>414.13</v>
      </c>
      <c r="N5" s="5" t="n">
        <v>497601.49</v>
      </c>
      <c r="O5" s="5" t="n">
        <v>492953.82</v>
      </c>
      <c r="P5" s="5" t="n">
        <v>15712.65</v>
      </c>
      <c r="Q5" s="6" t="n"/>
      <c r="R5" s="5" t="n">
        <v>10467.85</v>
      </c>
      <c r="S5" s="5" t="n">
        <v>133133.86</v>
      </c>
      <c r="T5" s="6" t="n"/>
      <c r="U5" s="5" t="n">
        <v>4988</v>
      </c>
      <c r="V5" s="5" t="n">
        <v>946590.53</v>
      </c>
      <c r="W5" s="5" t="n">
        <v>11390</v>
      </c>
      <c r="X5" s="5" t="n">
        <v>6869.46</v>
      </c>
      <c r="Y5" s="5" t="n">
        <v>35901</v>
      </c>
      <c r="Z5" s="5" t="n">
        <v>414.13</v>
      </c>
      <c r="AA5" s="5" t="n">
        <v>497601.49</v>
      </c>
      <c r="AB5" s="5">
        <f>B5-O5</f>
        <v/>
      </c>
      <c r="AC5" s="5">
        <f>C5-P5</f>
        <v/>
      </c>
      <c r="AD5" s="5">
        <f>D5-Q5</f>
        <v/>
      </c>
      <c r="AE5" s="5">
        <f>E5-R5</f>
        <v/>
      </c>
      <c r="AF5" s="5">
        <f>F5-S5</f>
        <v/>
      </c>
      <c r="AG5" s="5">
        <f>G5-T5</f>
        <v/>
      </c>
      <c r="AH5" s="5">
        <f>H5-U5</f>
        <v/>
      </c>
      <c r="AI5" s="5">
        <f>I5-V5</f>
        <v/>
      </c>
      <c r="AJ5" s="5">
        <f>J5-W5</f>
        <v/>
      </c>
      <c r="AK5" s="5">
        <f>K5-X5</f>
        <v/>
      </c>
      <c r="AL5" s="5">
        <f>L5-Y5</f>
        <v/>
      </c>
      <c r="AM5" s="5">
        <f>M5-Z5</f>
        <v/>
      </c>
      <c r="AN5" s="5">
        <f>N5-AA5</f>
        <v/>
      </c>
      <c r="AO5" s="7">
        <f>A5</f>
        <v/>
      </c>
      <c r="AP5" s="6" t="n"/>
      <c r="AQ5" s="6" t="n"/>
      <c r="AR5" s="6" t="n"/>
      <c r="AS5" s="6" t="n"/>
      <c r="AT5" s="5" t="n">
        <v>461.27</v>
      </c>
      <c r="AU5" s="6" t="n"/>
      <c r="AV5" s="6" t="n"/>
      <c r="AW5" s="6" t="n"/>
      <c r="AX5" s="6" t="n"/>
      <c r="AY5" s="6" t="n"/>
      <c r="AZ5" s="6" t="n"/>
      <c r="BA5" s="6" t="n"/>
      <c r="BB5" s="6" t="n"/>
    </row>
    <row r="6">
      <c r="A6" s="4" t="n">
        <v>46085</v>
      </c>
      <c r="B6" s="5" t="n">
        <v>13577.47</v>
      </c>
      <c r="C6" s="5" t="n">
        <v>23217.6</v>
      </c>
      <c r="D6" s="6" t="n"/>
      <c r="E6" s="5" t="n">
        <v>15845.99</v>
      </c>
      <c r="F6" s="5" t="n">
        <v>185483.53</v>
      </c>
      <c r="G6" s="5" t="n">
        <v>2382.62</v>
      </c>
      <c r="H6" s="6" t="n"/>
      <c r="I6" s="5" t="n">
        <v>454293.06</v>
      </c>
      <c r="J6" s="5" t="n">
        <v>28390</v>
      </c>
      <c r="K6" s="5" t="n">
        <v>15411.25</v>
      </c>
      <c r="L6" s="6" t="n"/>
      <c r="M6" s="5" t="n">
        <v>6880.79</v>
      </c>
      <c r="N6" s="5" t="n">
        <v>397230.02</v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5">
        <f>B6-O6</f>
        <v/>
      </c>
      <c r="AC6" s="5">
        <f>C6-P6</f>
        <v/>
      </c>
      <c r="AD6" s="5">
        <f>D6-Q6</f>
        <v/>
      </c>
      <c r="AE6" s="5">
        <f>E6-R6</f>
        <v/>
      </c>
      <c r="AF6" s="5">
        <f>F6-S6</f>
        <v/>
      </c>
      <c r="AG6" s="5">
        <f>G6-T6</f>
        <v/>
      </c>
      <c r="AH6" s="5">
        <f>H6-U6</f>
        <v/>
      </c>
      <c r="AI6" s="5">
        <f>I6-V6</f>
        <v/>
      </c>
      <c r="AJ6" s="5">
        <f>J6-W6</f>
        <v/>
      </c>
      <c r="AK6" s="5">
        <f>K6-X6</f>
        <v/>
      </c>
      <c r="AL6" s="5">
        <f>L6-Y6</f>
        <v/>
      </c>
      <c r="AM6" s="5">
        <f>M6-Z6</f>
        <v/>
      </c>
      <c r="AN6" s="5">
        <f>N6-AA6</f>
        <v/>
      </c>
      <c r="AO6" s="7">
        <f>A6</f>
        <v/>
      </c>
      <c r="AP6" s="6" t="n"/>
      <c r="AQ6" s="6" t="n"/>
      <c r="AR6" s="6" t="n"/>
      <c r="AS6" s="6" t="n"/>
      <c r="AT6" s="5" t="n">
        <v>703.6</v>
      </c>
      <c r="AU6" s="6" t="n"/>
      <c r="AV6" s="6" t="n"/>
      <c r="AW6" s="6" t="n"/>
      <c r="AX6" s="6" t="n"/>
      <c r="AY6" s="6" t="n"/>
      <c r="AZ6" s="6" t="n"/>
      <c r="BA6" s="6" t="n"/>
      <c r="BB6" s="6" t="n"/>
    </row>
    <row r="7">
      <c r="A7" s="4" t="n">
        <v>46086</v>
      </c>
      <c r="B7" s="5" t="n">
        <v>4004.41</v>
      </c>
      <c r="C7" s="5" t="n">
        <v>88038.17999999999</v>
      </c>
      <c r="D7" s="5" t="n">
        <v>25779.51</v>
      </c>
      <c r="E7" s="5" t="n">
        <v>37044.17</v>
      </c>
      <c r="F7" s="5" t="n">
        <v>151548.69</v>
      </c>
      <c r="G7" s="5" t="n">
        <v>5804310.22</v>
      </c>
      <c r="H7" s="5" t="n">
        <v>3681</v>
      </c>
      <c r="I7" s="5" t="n">
        <v>1240003.74</v>
      </c>
      <c r="J7" s="5" t="n">
        <v>49510</v>
      </c>
      <c r="K7" s="5" t="n">
        <v>62128.08</v>
      </c>
      <c r="L7" s="5" t="n">
        <v>5500</v>
      </c>
      <c r="M7" s="5" t="n">
        <v>70836.39999999999</v>
      </c>
      <c r="N7" s="5" t="n">
        <v>391288.3</v>
      </c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5">
        <f>B7-O7</f>
        <v/>
      </c>
      <c r="AC7" s="5">
        <f>C7-P7</f>
        <v/>
      </c>
      <c r="AD7" s="5">
        <f>D7-Q7</f>
        <v/>
      </c>
      <c r="AE7" s="5">
        <f>E7-R7</f>
        <v/>
      </c>
      <c r="AF7" s="5">
        <f>F7-S7</f>
        <v/>
      </c>
      <c r="AG7" s="5">
        <f>G7-T7</f>
        <v/>
      </c>
      <c r="AH7" s="5">
        <f>H7-U7</f>
        <v/>
      </c>
      <c r="AI7" s="5">
        <f>I7-V7</f>
        <v/>
      </c>
      <c r="AJ7" s="5">
        <f>J7-W7</f>
        <v/>
      </c>
      <c r="AK7" s="5">
        <f>K7-X7</f>
        <v/>
      </c>
      <c r="AL7" s="5">
        <f>L7-Y7</f>
        <v/>
      </c>
      <c r="AM7" s="5">
        <f>M7-Z7</f>
        <v/>
      </c>
      <c r="AN7" s="5">
        <f>N7-AA7</f>
        <v/>
      </c>
      <c r="AO7" s="7">
        <f>A7</f>
        <v/>
      </c>
      <c r="AP7" s="6" t="n"/>
      <c r="AQ7" s="6" t="n"/>
      <c r="AR7" s="6" t="n"/>
      <c r="AS7" s="6" t="n"/>
      <c r="AT7" s="5" t="n">
        <v>300.3</v>
      </c>
      <c r="AU7" s="5" t="n">
        <v>804.16</v>
      </c>
      <c r="AV7" s="6" t="n"/>
      <c r="AW7" s="5" t="n">
        <v>271.23</v>
      </c>
      <c r="AX7" s="6" t="n"/>
      <c r="AY7" s="6" t="n"/>
      <c r="AZ7" s="6" t="n"/>
      <c r="BA7" s="6" t="n"/>
      <c r="BB7" s="6" t="n"/>
    </row>
    <row r="8">
      <c r="A8" s="4" t="n">
        <v>46087</v>
      </c>
      <c r="B8" s="5" t="n">
        <v>158743.88</v>
      </c>
      <c r="C8" s="5" t="n">
        <v>12032.34</v>
      </c>
      <c r="D8" s="6" t="n"/>
      <c r="E8" s="5" t="n">
        <v>9144.67</v>
      </c>
      <c r="F8" s="5" t="n">
        <v>211637.02</v>
      </c>
      <c r="G8" s="6" t="n"/>
      <c r="H8" s="6" t="n"/>
      <c r="I8" s="5" t="n">
        <v>48407.95</v>
      </c>
      <c r="J8" s="5" t="n">
        <v>75920</v>
      </c>
      <c r="K8" s="5" t="n">
        <v>11221.39</v>
      </c>
      <c r="L8" s="5" t="n">
        <v>2200</v>
      </c>
      <c r="M8" s="5" t="n">
        <v>19.68</v>
      </c>
      <c r="N8" s="5" t="n">
        <v>341965.98</v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5">
        <f>B8-O8</f>
        <v/>
      </c>
      <c r="AC8" s="5">
        <f>C8-P8</f>
        <v/>
      </c>
      <c r="AD8" s="5">
        <f>D8-Q8</f>
        <v/>
      </c>
      <c r="AE8" s="5">
        <f>E8-R8</f>
        <v/>
      </c>
      <c r="AF8" s="5">
        <f>F8-S8</f>
        <v/>
      </c>
      <c r="AG8" s="5">
        <f>G8-T8</f>
        <v/>
      </c>
      <c r="AH8" s="5">
        <f>H8-U8</f>
        <v/>
      </c>
      <c r="AI8" s="5">
        <f>I8-V8</f>
        <v/>
      </c>
      <c r="AJ8" s="5">
        <f>J8-W8</f>
        <v/>
      </c>
      <c r="AK8" s="5">
        <f>K8-X8</f>
        <v/>
      </c>
      <c r="AL8" s="5">
        <f>L8-Y8</f>
        <v/>
      </c>
      <c r="AM8" s="5">
        <f>M8-Z8</f>
        <v/>
      </c>
      <c r="AN8" s="5">
        <f>N8-AA8</f>
        <v/>
      </c>
      <c r="AO8" s="7">
        <f>A8</f>
        <v/>
      </c>
      <c r="AP8" s="6" t="n"/>
      <c r="AQ8" s="6" t="n"/>
      <c r="AR8" s="6" t="n"/>
      <c r="AS8" s="6" t="n"/>
      <c r="AT8" s="5" t="n">
        <v>469.8</v>
      </c>
      <c r="AU8" s="6" t="n"/>
      <c r="AV8" s="6" t="n"/>
      <c r="AW8" s="6" t="n"/>
      <c r="AX8" s="6" t="n"/>
      <c r="AY8" s="6" t="n"/>
      <c r="AZ8" s="6" t="n"/>
      <c r="BA8" s="6" t="n"/>
      <c r="BB8" s="6" t="n"/>
    </row>
    <row r="9">
      <c r="A9" s="4" t="n">
        <v>46088</v>
      </c>
      <c r="B9" s="6" t="n"/>
      <c r="C9" s="6" t="n"/>
      <c r="D9" s="6" t="n"/>
      <c r="E9" s="5" t="n">
        <v>1379.6</v>
      </c>
      <c r="F9" s="5" t="n">
        <v>153824.37</v>
      </c>
      <c r="G9" s="6" t="n"/>
      <c r="H9" s="6" t="n"/>
      <c r="I9" s="5" t="n">
        <v>11221.46</v>
      </c>
      <c r="J9" s="6" t="n"/>
      <c r="K9" s="5" t="n">
        <v>500</v>
      </c>
      <c r="L9" s="6" t="n"/>
      <c r="M9" s="6" t="n"/>
      <c r="N9" s="5" t="n">
        <v>313296.86</v>
      </c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5">
        <f>B9-O9</f>
        <v/>
      </c>
      <c r="AC9" s="5">
        <f>C9-P9</f>
        <v/>
      </c>
      <c r="AD9" s="5">
        <f>D9-Q9</f>
        <v/>
      </c>
      <c r="AE9" s="5">
        <f>E9-R9</f>
        <v/>
      </c>
      <c r="AF9" s="5">
        <f>F9-S9</f>
        <v/>
      </c>
      <c r="AG9" s="5">
        <f>G9-T9</f>
        <v/>
      </c>
      <c r="AH9" s="5">
        <f>H9-U9</f>
        <v/>
      </c>
      <c r="AI9" s="5">
        <f>I9-V9</f>
        <v/>
      </c>
      <c r="AJ9" s="5">
        <f>J9-W9</f>
        <v/>
      </c>
      <c r="AK9" s="5">
        <f>K9-X9</f>
        <v/>
      </c>
      <c r="AL9" s="5">
        <f>L9-Y9</f>
        <v/>
      </c>
      <c r="AM9" s="5">
        <f>M9-Z9</f>
        <v/>
      </c>
      <c r="AN9" s="5">
        <f>N9-AA9</f>
        <v/>
      </c>
      <c r="AO9" s="7">
        <f>A9</f>
        <v/>
      </c>
      <c r="AP9" s="6" t="n"/>
      <c r="AQ9" s="6" t="n"/>
      <c r="AR9" s="6" t="n"/>
      <c r="AS9" s="6" t="n"/>
      <c r="AT9" s="5" t="n">
        <v>223.6</v>
      </c>
      <c r="AU9" s="6" t="n"/>
      <c r="AV9" s="6" t="n"/>
      <c r="AW9" s="6" t="n"/>
      <c r="AX9" s="6" t="n"/>
      <c r="AY9" s="6" t="n"/>
      <c r="AZ9" s="6" t="n"/>
      <c r="BA9" s="6" t="n"/>
      <c r="BB9" s="6" t="n"/>
    </row>
    <row r="10">
      <c r="A10" s="4" t="n">
        <v>46089</v>
      </c>
      <c r="B10" s="6" t="n"/>
      <c r="C10" s="5" t="n">
        <v>79564.49000000001</v>
      </c>
      <c r="D10" s="6" t="n"/>
      <c r="E10" s="5" t="n">
        <v>6941.34</v>
      </c>
      <c r="F10" s="5" t="n">
        <v>105675.57</v>
      </c>
      <c r="G10" s="6" t="n"/>
      <c r="H10" s="6" t="n"/>
      <c r="I10" s="5" t="n">
        <v>581687.5</v>
      </c>
      <c r="J10" s="6" t="n"/>
      <c r="K10" s="5" t="n">
        <v>1696.66</v>
      </c>
      <c r="L10" s="6" t="n"/>
      <c r="M10" s="5" t="n">
        <v>47.05</v>
      </c>
      <c r="N10" s="5" t="n">
        <v>392560.29</v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5">
        <f>B10-O10</f>
        <v/>
      </c>
      <c r="AC10" s="5">
        <f>C10-P10</f>
        <v/>
      </c>
      <c r="AD10" s="5">
        <f>D10-Q10</f>
        <v/>
      </c>
      <c r="AE10" s="5">
        <f>E10-R10</f>
        <v/>
      </c>
      <c r="AF10" s="5">
        <f>F10-S10</f>
        <v/>
      </c>
      <c r="AG10" s="5">
        <f>G10-T10</f>
        <v/>
      </c>
      <c r="AH10" s="5">
        <f>H10-U10</f>
        <v/>
      </c>
      <c r="AI10" s="5">
        <f>I10-V10</f>
        <v/>
      </c>
      <c r="AJ10" s="5">
        <f>J10-W10</f>
        <v/>
      </c>
      <c r="AK10" s="5">
        <f>K10-X10</f>
        <v/>
      </c>
      <c r="AL10" s="5">
        <f>L10-Y10</f>
        <v/>
      </c>
      <c r="AM10" s="5">
        <f>M10-Z10</f>
        <v/>
      </c>
      <c r="AN10" s="5">
        <f>N10-AA10</f>
        <v/>
      </c>
      <c r="AO10" s="7">
        <f>A10</f>
        <v/>
      </c>
      <c r="AP10" s="6" t="n"/>
      <c r="AQ10" s="6" t="n"/>
      <c r="AR10" s="6" t="n"/>
      <c r="AS10" s="6" t="n"/>
      <c r="AT10" s="5" t="n">
        <v>92.40000000000001</v>
      </c>
      <c r="AU10" s="6" t="n"/>
      <c r="AV10" s="6" t="n"/>
      <c r="AW10" s="6" t="n"/>
      <c r="AX10" s="6" t="n"/>
      <c r="AY10" s="6" t="n"/>
      <c r="AZ10" s="6" t="n"/>
      <c r="BA10" s="6" t="n"/>
      <c r="BB10" s="6" t="n"/>
    </row>
    <row r="11">
      <c r="A11" s="4" t="n">
        <v>46090</v>
      </c>
      <c r="B11" s="5" t="n">
        <v>3687.47</v>
      </c>
      <c r="C11" s="5" t="n">
        <v>342295.2</v>
      </c>
      <c r="D11" s="6" t="n"/>
      <c r="E11" s="5" t="n">
        <v>13063.79</v>
      </c>
      <c r="F11" s="5" t="n">
        <v>274453.31</v>
      </c>
      <c r="G11" s="6" t="n"/>
      <c r="H11" s="5" t="n">
        <v>380</v>
      </c>
      <c r="I11" s="5" t="n">
        <v>3060832.03</v>
      </c>
      <c r="J11" s="5" t="n">
        <v>12000</v>
      </c>
      <c r="K11" s="5" t="n">
        <v>17187.54</v>
      </c>
      <c r="L11" s="5" t="n">
        <v>74350</v>
      </c>
      <c r="M11" s="5" t="n">
        <v>59911.88</v>
      </c>
      <c r="N11" s="5" t="n">
        <v>226849.44</v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5">
        <f>B11-O11</f>
        <v/>
      </c>
      <c r="AC11" s="5">
        <f>C11-P11</f>
        <v/>
      </c>
      <c r="AD11" s="5">
        <f>D11-Q11</f>
        <v/>
      </c>
      <c r="AE11" s="5">
        <f>E11-R11</f>
        <v/>
      </c>
      <c r="AF11" s="5">
        <f>F11-S11</f>
        <v/>
      </c>
      <c r="AG11" s="5">
        <f>G11-T11</f>
        <v/>
      </c>
      <c r="AH11" s="5">
        <f>H11-U11</f>
        <v/>
      </c>
      <c r="AI11" s="5">
        <f>I11-V11</f>
        <v/>
      </c>
      <c r="AJ11" s="5">
        <f>J11-W11</f>
        <v/>
      </c>
      <c r="AK11" s="5">
        <f>K11-X11</f>
        <v/>
      </c>
      <c r="AL11" s="5">
        <f>L11-Y11</f>
        <v/>
      </c>
      <c r="AM11" s="5">
        <f>M11-Z11</f>
        <v/>
      </c>
      <c r="AN11" s="5">
        <f>N11-AA11</f>
        <v/>
      </c>
      <c r="AO11" s="7">
        <f>A11</f>
        <v/>
      </c>
      <c r="AP11" s="6" t="n"/>
      <c r="AQ11" s="6" t="n"/>
      <c r="AR11" s="6" t="n"/>
      <c r="AS11" s="6" t="n"/>
      <c r="AT11" s="5" t="n">
        <v>406.99</v>
      </c>
      <c r="AU11" s="6" t="n"/>
      <c r="AV11" s="6" t="n"/>
      <c r="AW11" s="6" t="n"/>
      <c r="AX11" s="6" t="n"/>
      <c r="AY11" s="6" t="n"/>
      <c r="AZ11" s="6" t="n"/>
      <c r="BA11" s="6" t="n"/>
      <c r="BB11" s="6" t="n"/>
    </row>
    <row r="12">
      <c r="A12" s="4" t="n">
        <v>46091</v>
      </c>
      <c r="B12" s="5" t="n">
        <v>73641.88</v>
      </c>
      <c r="C12" s="5" t="n">
        <v>247216.37</v>
      </c>
      <c r="D12" s="6" t="n"/>
      <c r="E12" s="5" t="n">
        <v>13287.86</v>
      </c>
      <c r="F12" s="5" t="n">
        <v>189012.39</v>
      </c>
      <c r="G12" s="5" t="n">
        <v>1551.19</v>
      </c>
      <c r="H12" s="5" t="n">
        <v>10141</v>
      </c>
      <c r="I12" s="5" t="n">
        <v>366395.09</v>
      </c>
      <c r="J12" s="5" t="n">
        <v>8965</v>
      </c>
      <c r="K12" s="5" t="n">
        <v>5412.48</v>
      </c>
      <c r="L12" s="5" t="n">
        <v>4920</v>
      </c>
      <c r="M12" s="5" t="n">
        <v>5265.26</v>
      </c>
      <c r="N12" s="5" t="n">
        <v>195730.83</v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5">
        <f>B12-O12</f>
        <v/>
      </c>
      <c r="AC12" s="5">
        <f>C12-P12</f>
        <v/>
      </c>
      <c r="AD12" s="5">
        <f>D12-Q12</f>
        <v/>
      </c>
      <c r="AE12" s="5">
        <f>E12-R12</f>
        <v/>
      </c>
      <c r="AF12" s="5">
        <f>F12-S12</f>
        <v/>
      </c>
      <c r="AG12" s="5">
        <f>G12-T12</f>
        <v/>
      </c>
      <c r="AH12" s="5">
        <f>H12-U12</f>
        <v/>
      </c>
      <c r="AI12" s="5">
        <f>I12-V12</f>
        <v/>
      </c>
      <c r="AJ12" s="5">
        <f>J12-W12</f>
        <v/>
      </c>
      <c r="AK12" s="5">
        <f>K12-X12</f>
        <v/>
      </c>
      <c r="AL12" s="5">
        <f>L12-Y12</f>
        <v/>
      </c>
      <c r="AM12" s="5">
        <f>M12-Z12</f>
        <v/>
      </c>
      <c r="AN12" s="5">
        <f>N12-AA12</f>
        <v/>
      </c>
      <c r="AO12" s="7">
        <f>A12</f>
        <v/>
      </c>
      <c r="AP12" s="6" t="n"/>
      <c r="AQ12" s="6" t="n"/>
      <c r="AR12" s="6" t="n"/>
      <c r="AS12" s="6" t="n"/>
      <c r="AT12" s="5" t="n">
        <v>264.5</v>
      </c>
      <c r="AU12" s="6" t="n"/>
      <c r="AV12" s="6" t="n"/>
      <c r="AW12" s="6" t="n"/>
      <c r="AX12" s="6" t="n"/>
      <c r="AY12" s="6" t="n"/>
      <c r="AZ12" s="6" t="n"/>
      <c r="BA12" s="6" t="n"/>
      <c r="BB12" s="6" t="n"/>
    </row>
    <row r="13">
      <c r="A13" s="4" t="n">
        <v>46092</v>
      </c>
      <c r="B13" s="6" t="n"/>
      <c r="C13" s="5" t="n">
        <v>37449.7</v>
      </c>
      <c r="D13" s="6" t="n"/>
      <c r="E13" s="5" t="n">
        <v>14104.76</v>
      </c>
      <c r="F13" s="5" t="n">
        <v>284527.07</v>
      </c>
      <c r="G13" s="5" t="n">
        <v>10107.73</v>
      </c>
      <c r="H13" s="6" t="n"/>
      <c r="I13" s="5" t="n">
        <v>276839.26</v>
      </c>
      <c r="J13" s="5" t="n">
        <v>12090</v>
      </c>
      <c r="K13" s="5" t="n">
        <v>15282.08</v>
      </c>
      <c r="L13" s="5" t="n">
        <v>49500</v>
      </c>
      <c r="M13" s="5" t="n">
        <v>10254.83</v>
      </c>
      <c r="N13" s="5" t="n">
        <v>193243.19</v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5">
        <f>B13-O13</f>
        <v/>
      </c>
      <c r="AC13" s="5">
        <f>C13-P13</f>
        <v/>
      </c>
      <c r="AD13" s="5">
        <f>D13-Q13</f>
        <v/>
      </c>
      <c r="AE13" s="5">
        <f>E13-R13</f>
        <v/>
      </c>
      <c r="AF13" s="5">
        <f>F13-S13</f>
        <v/>
      </c>
      <c r="AG13" s="5">
        <f>G13-T13</f>
        <v/>
      </c>
      <c r="AH13" s="5">
        <f>H13-U13</f>
        <v/>
      </c>
      <c r="AI13" s="5">
        <f>I13-V13</f>
        <v/>
      </c>
      <c r="AJ13" s="5">
        <f>J13-W13</f>
        <v/>
      </c>
      <c r="AK13" s="5">
        <f>K13-X13</f>
        <v/>
      </c>
      <c r="AL13" s="5">
        <f>L13-Y13</f>
        <v/>
      </c>
      <c r="AM13" s="5">
        <f>M13-Z13</f>
        <v/>
      </c>
      <c r="AN13" s="5">
        <f>N13-AA13</f>
        <v/>
      </c>
      <c r="AO13" s="7">
        <f>A13</f>
        <v/>
      </c>
      <c r="AP13" s="6" t="n"/>
      <c r="AQ13" s="6" t="n"/>
      <c r="AR13" s="6" t="n"/>
      <c r="AS13" s="6" t="n"/>
      <c r="AT13" s="5" t="n">
        <v>998.4</v>
      </c>
      <c r="AU13" s="6" t="n"/>
      <c r="AV13" s="6" t="n"/>
      <c r="AW13" s="6" t="n"/>
      <c r="AX13" s="6" t="n"/>
      <c r="AY13" s="6" t="n"/>
      <c r="AZ13" s="6" t="n"/>
      <c r="BA13" s="6" t="n"/>
      <c r="BB13" s="6" t="n"/>
    </row>
    <row r="14">
      <c r="A14" s="4" t="n">
        <v>46093</v>
      </c>
      <c r="B14" s="6" t="n"/>
      <c r="C14" s="5" t="n">
        <v>24625.19</v>
      </c>
      <c r="D14" s="6" t="n"/>
      <c r="E14" s="5" t="n">
        <v>8405.93</v>
      </c>
      <c r="F14" s="5" t="n">
        <v>146735.27</v>
      </c>
      <c r="G14" s="5" t="n">
        <v>289.69</v>
      </c>
      <c r="H14" s="5" t="n">
        <v>85371</v>
      </c>
      <c r="I14" s="5" t="n">
        <v>273958.38</v>
      </c>
      <c r="J14" s="5" t="n">
        <v>17905</v>
      </c>
      <c r="K14" s="5" t="n">
        <v>2441.42</v>
      </c>
      <c r="L14" s="5" t="n">
        <v>32402</v>
      </c>
      <c r="M14" s="5" t="n">
        <v>13123.36</v>
      </c>
      <c r="N14" s="5" t="n">
        <v>201693.05</v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5">
        <f>B14-O14</f>
        <v/>
      </c>
      <c r="AC14" s="5">
        <f>C14-P14</f>
        <v/>
      </c>
      <c r="AD14" s="5">
        <f>D14-Q14</f>
        <v/>
      </c>
      <c r="AE14" s="5">
        <f>E14-R14</f>
        <v/>
      </c>
      <c r="AF14" s="5">
        <f>F14-S14</f>
        <v/>
      </c>
      <c r="AG14" s="5">
        <f>G14-T14</f>
        <v/>
      </c>
      <c r="AH14" s="5">
        <f>H14-U14</f>
        <v/>
      </c>
      <c r="AI14" s="5">
        <f>I14-V14</f>
        <v/>
      </c>
      <c r="AJ14" s="5">
        <f>J14-W14</f>
        <v/>
      </c>
      <c r="AK14" s="5">
        <f>K14-X14</f>
        <v/>
      </c>
      <c r="AL14" s="5">
        <f>L14-Y14</f>
        <v/>
      </c>
      <c r="AM14" s="5">
        <f>M14-Z14</f>
        <v/>
      </c>
      <c r="AN14" s="5">
        <f>N14-AA14</f>
        <v/>
      </c>
      <c r="AO14" s="7">
        <f>A14</f>
        <v/>
      </c>
      <c r="AP14" s="6" t="n"/>
      <c r="AQ14" s="6" t="n"/>
      <c r="AR14" s="6" t="n"/>
      <c r="AS14" s="6" t="n"/>
      <c r="AT14" s="5" t="n">
        <v>787</v>
      </c>
      <c r="AU14" s="6" t="n"/>
      <c r="AV14" s="6" t="n"/>
      <c r="AW14" s="6" t="n"/>
      <c r="AX14" s="6" t="n"/>
      <c r="AY14" s="6" t="n"/>
      <c r="AZ14" s="6" t="n"/>
      <c r="BA14" s="6" t="n"/>
      <c r="BB14" s="6" t="n"/>
    </row>
    <row r="15">
      <c r="A15" s="4" t="n">
        <v>46094</v>
      </c>
      <c r="B15" s="6" t="n"/>
      <c r="C15" s="5" t="n">
        <v>4488.17</v>
      </c>
      <c r="D15" s="6" t="n"/>
      <c r="E15" s="5" t="n">
        <v>1524.91</v>
      </c>
      <c r="F15" s="5" t="n">
        <v>191973.96</v>
      </c>
      <c r="G15" s="5" t="n">
        <v>12</v>
      </c>
      <c r="H15" s="5" t="n">
        <v>51364</v>
      </c>
      <c r="I15" s="5" t="n">
        <v>205438.5</v>
      </c>
      <c r="J15" s="5" t="n">
        <v>92990</v>
      </c>
      <c r="K15" s="5" t="n">
        <v>8054.51</v>
      </c>
      <c r="L15" s="5" t="n">
        <v>31779.27</v>
      </c>
      <c r="M15" s="5" t="n">
        <v>9462.6</v>
      </c>
      <c r="N15" s="5" t="n">
        <v>189263.41</v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5">
        <f>B15-O15</f>
        <v/>
      </c>
      <c r="AC15" s="5">
        <f>C15-P15</f>
        <v/>
      </c>
      <c r="AD15" s="5">
        <f>D15-Q15</f>
        <v/>
      </c>
      <c r="AE15" s="5">
        <f>E15-R15</f>
        <v/>
      </c>
      <c r="AF15" s="5">
        <f>F15-S15</f>
        <v/>
      </c>
      <c r="AG15" s="5">
        <f>G15-T15</f>
        <v/>
      </c>
      <c r="AH15" s="5">
        <f>H15-U15</f>
        <v/>
      </c>
      <c r="AI15" s="5">
        <f>I15-V15</f>
        <v/>
      </c>
      <c r="AJ15" s="5">
        <f>J15-W15</f>
        <v/>
      </c>
      <c r="AK15" s="5">
        <f>K15-X15</f>
        <v/>
      </c>
      <c r="AL15" s="5">
        <f>L15-Y15</f>
        <v/>
      </c>
      <c r="AM15" s="5">
        <f>M15-Z15</f>
        <v/>
      </c>
      <c r="AN15" s="5">
        <f>N15-AA15</f>
        <v/>
      </c>
      <c r="AO15" s="7">
        <f>A15</f>
        <v/>
      </c>
      <c r="AP15" s="6" t="n"/>
      <c r="AQ15" s="6" t="n"/>
      <c r="AR15" s="6" t="n"/>
      <c r="AS15" s="6" t="n"/>
      <c r="AT15" s="5" t="n">
        <v>1641.8</v>
      </c>
      <c r="AU15" s="6" t="n"/>
      <c r="AV15" s="6" t="n"/>
      <c r="AW15" s="6" t="n"/>
      <c r="AX15" s="6" t="n"/>
      <c r="AY15" s="6" t="n"/>
      <c r="AZ15" s="6" t="n"/>
      <c r="BA15" s="6" t="n"/>
      <c r="BB15" s="6" t="n"/>
    </row>
    <row r="16">
      <c r="A16" s="4" t="n">
        <v>46095</v>
      </c>
      <c r="B16" s="5" t="n">
        <v>690</v>
      </c>
      <c r="C16" s="5" t="n">
        <v>7397.88</v>
      </c>
      <c r="D16" s="6" t="n"/>
      <c r="E16" s="5" t="n">
        <v>2653.62</v>
      </c>
      <c r="F16" s="5" t="n">
        <v>27464.34</v>
      </c>
      <c r="G16" s="6" t="n"/>
      <c r="H16" s="6" t="n"/>
      <c r="I16" s="5" t="n">
        <v>229142.56</v>
      </c>
      <c r="J16" s="6" t="n"/>
      <c r="K16" s="6" t="n"/>
      <c r="L16" s="6" t="n"/>
      <c r="M16" s="5" t="n">
        <v>11448.63</v>
      </c>
      <c r="N16" s="5" t="n">
        <v>178254.03</v>
      </c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5">
        <f>B16-O16</f>
        <v/>
      </c>
      <c r="AC16" s="5">
        <f>C16-P16</f>
        <v/>
      </c>
      <c r="AD16" s="5">
        <f>D16-Q16</f>
        <v/>
      </c>
      <c r="AE16" s="5">
        <f>E16-R16</f>
        <v/>
      </c>
      <c r="AF16" s="5">
        <f>F16-S16</f>
        <v/>
      </c>
      <c r="AG16" s="5">
        <f>G16-T16</f>
        <v/>
      </c>
      <c r="AH16" s="5">
        <f>H16-U16</f>
        <v/>
      </c>
      <c r="AI16" s="5">
        <f>I16-V16</f>
        <v/>
      </c>
      <c r="AJ16" s="5">
        <f>J16-W16</f>
        <v/>
      </c>
      <c r="AK16" s="5">
        <f>K16-X16</f>
        <v/>
      </c>
      <c r="AL16" s="5">
        <f>L16-Y16</f>
        <v/>
      </c>
      <c r="AM16" s="5">
        <f>M16-Z16</f>
        <v/>
      </c>
      <c r="AN16" s="5">
        <f>N16-AA16</f>
        <v/>
      </c>
      <c r="AO16" s="7">
        <f>A16</f>
        <v/>
      </c>
      <c r="AP16" s="6" t="n"/>
      <c r="AQ16" s="6" t="n"/>
      <c r="AR16" s="6" t="n"/>
      <c r="AS16" s="6" t="n"/>
      <c r="AT16" s="5" t="n">
        <v>384.9</v>
      </c>
      <c r="AU16" s="6" t="n"/>
      <c r="AV16" s="6" t="n"/>
      <c r="AW16" s="6" t="n"/>
      <c r="AX16" s="6" t="n"/>
      <c r="AY16" s="6" t="n"/>
      <c r="AZ16" s="6" t="n"/>
      <c r="BA16" s="6" t="n"/>
      <c r="BB16" s="6" t="n"/>
    </row>
    <row r="17">
      <c r="A17" s="4" t="n">
        <v>46096</v>
      </c>
      <c r="B17" s="6" t="n"/>
      <c r="C17" s="5" t="n">
        <v>62255.53</v>
      </c>
      <c r="D17" s="5" t="n">
        <v>87200</v>
      </c>
      <c r="E17" s="5" t="n">
        <v>43088.81</v>
      </c>
      <c r="F17" s="5" t="n">
        <v>71089.03</v>
      </c>
      <c r="G17" s="5" t="n">
        <v>34378.69</v>
      </c>
      <c r="H17" s="6" t="n"/>
      <c r="I17" s="5" t="n">
        <v>520095.43</v>
      </c>
      <c r="J17" s="6" t="n"/>
      <c r="K17" s="5" t="n">
        <v>12226.35</v>
      </c>
      <c r="L17" s="6" t="n"/>
      <c r="M17" s="5" t="n">
        <v>21237.88</v>
      </c>
      <c r="N17" s="5" t="n">
        <v>231160.39</v>
      </c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5">
        <f>B17-O17</f>
        <v/>
      </c>
      <c r="AC17" s="5">
        <f>C17-P17</f>
        <v/>
      </c>
      <c r="AD17" s="5">
        <f>D17-Q17</f>
        <v/>
      </c>
      <c r="AE17" s="5">
        <f>E17-R17</f>
        <v/>
      </c>
      <c r="AF17" s="5">
        <f>F17-S17</f>
        <v/>
      </c>
      <c r="AG17" s="5">
        <f>G17-T17</f>
        <v/>
      </c>
      <c r="AH17" s="5">
        <f>H17-U17</f>
        <v/>
      </c>
      <c r="AI17" s="5">
        <f>I17-V17</f>
        <v/>
      </c>
      <c r="AJ17" s="5">
        <f>J17-W17</f>
        <v/>
      </c>
      <c r="AK17" s="5">
        <f>K17-X17</f>
        <v/>
      </c>
      <c r="AL17" s="5">
        <f>L17-Y17</f>
        <v/>
      </c>
      <c r="AM17" s="5">
        <f>M17-Z17</f>
        <v/>
      </c>
      <c r="AN17" s="5">
        <f>N17-AA17</f>
        <v/>
      </c>
      <c r="AO17" s="7">
        <f>A17</f>
        <v/>
      </c>
      <c r="AP17" s="6" t="n"/>
      <c r="AQ17" s="6" t="n"/>
      <c r="AR17" s="6" t="n"/>
      <c r="AS17" s="6" t="n"/>
      <c r="AT17" s="5" t="n">
        <v>132.4</v>
      </c>
      <c r="AU17" s="6" t="n"/>
      <c r="AV17" s="6" t="n"/>
      <c r="AW17" s="6" t="n"/>
      <c r="AX17" s="6" t="n"/>
      <c r="AY17" s="5" t="n">
        <v>51.19</v>
      </c>
      <c r="AZ17" s="6" t="n"/>
      <c r="BA17" s="6" t="n"/>
      <c r="BB17" s="6" t="n"/>
    </row>
    <row r="18">
      <c r="A18" s="4" t="n">
        <v>46097</v>
      </c>
      <c r="B18" s="5" t="n">
        <v>552.15</v>
      </c>
      <c r="C18" s="5" t="n">
        <v>110723.56</v>
      </c>
      <c r="D18" s="5" t="n">
        <v>61058.24</v>
      </c>
      <c r="E18" s="5" t="n">
        <v>69123.13</v>
      </c>
      <c r="F18" s="5" t="n">
        <v>152637.75</v>
      </c>
      <c r="G18" s="5" t="n">
        <v>700.67</v>
      </c>
      <c r="H18" s="6" t="n"/>
      <c r="I18" s="5" t="n">
        <v>496331.08</v>
      </c>
      <c r="J18" s="5" t="n">
        <v>6680</v>
      </c>
      <c r="K18" s="5" t="n">
        <v>228432.34</v>
      </c>
      <c r="L18" s="6" t="n"/>
      <c r="M18" s="5" t="n">
        <v>23105.22</v>
      </c>
      <c r="N18" s="5" t="n">
        <v>147440.7</v>
      </c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5">
        <f>B18-O18</f>
        <v/>
      </c>
      <c r="AC18" s="5">
        <f>C18-P18</f>
        <v/>
      </c>
      <c r="AD18" s="5">
        <f>D18-Q18</f>
        <v/>
      </c>
      <c r="AE18" s="5">
        <f>E18-R18</f>
        <v/>
      </c>
      <c r="AF18" s="5">
        <f>F18-S18</f>
        <v/>
      </c>
      <c r="AG18" s="5">
        <f>G18-T18</f>
        <v/>
      </c>
      <c r="AH18" s="5">
        <f>H18-U18</f>
        <v/>
      </c>
      <c r="AI18" s="5">
        <f>I18-V18</f>
        <v/>
      </c>
      <c r="AJ18" s="5">
        <f>J18-W18</f>
        <v/>
      </c>
      <c r="AK18" s="5">
        <f>K18-X18</f>
        <v/>
      </c>
      <c r="AL18" s="5">
        <f>L18-Y18</f>
        <v/>
      </c>
      <c r="AM18" s="5">
        <f>M18-Z18</f>
        <v/>
      </c>
      <c r="AN18" s="5">
        <f>N18-AA18</f>
        <v/>
      </c>
      <c r="AO18" s="7">
        <f>A18</f>
        <v/>
      </c>
      <c r="AP18" s="6" t="n"/>
      <c r="AQ18" s="6" t="n"/>
      <c r="AR18" s="6" t="n"/>
      <c r="AS18" s="6" t="n"/>
      <c r="AT18" s="5" t="n">
        <v>494.4</v>
      </c>
      <c r="AU18" s="6" t="n"/>
      <c r="AV18" s="6" t="n"/>
      <c r="AW18" s="5" t="n">
        <v>50</v>
      </c>
      <c r="AX18" s="6" t="n"/>
      <c r="AY18" s="6" t="n"/>
      <c r="AZ18" s="6" t="n"/>
      <c r="BA18" s="6" t="n"/>
      <c r="BB18" s="6" t="n"/>
    </row>
    <row r="19">
      <c r="A19" s="4" t="n">
        <v>46098</v>
      </c>
      <c r="B19" s="6" t="n"/>
      <c r="C19" s="5" t="n">
        <v>19372.49</v>
      </c>
      <c r="D19" s="6" t="n"/>
      <c r="E19" s="5" t="n">
        <v>43448.32</v>
      </c>
      <c r="F19" s="5" t="n">
        <v>128184.08</v>
      </c>
      <c r="G19" s="5" t="n">
        <v>1776.57</v>
      </c>
      <c r="H19" s="5" t="n">
        <v>6300</v>
      </c>
      <c r="I19" s="5" t="n">
        <v>150398.4</v>
      </c>
      <c r="J19" s="6" t="n"/>
      <c r="K19" s="5" t="n">
        <v>8543.379999999999</v>
      </c>
      <c r="L19" s="5" t="n">
        <v>1140</v>
      </c>
      <c r="M19" s="5" t="n">
        <v>7544.36</v>
      </c>
      <c r="N19" s="5" t="n">
        <v>113558.7</v>
      </c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5">
        <f>B19-O19</f>
        <v/>
      </c>
      <c r="AC19" s="5">
        <f>C19-P19</f>
        <v/>
      </c>
      <c r="AD19" s="5">
        <f>D19-Q19</f>
        <v/>
      </c>
      <c r="AE19" s="5">
        <f>E19-R19</f>
        <v/>
      </c>
      <c r="AF19" s="5">
        <f>F19-S19</f>
        <v/>
      </c>
      <c r="AG19" s="5">
        <f>G19-T19</f>
        <v/>
      </c>
      <c r="AH19" s="5">
        <f>H19-U19</f>
        <v/>
      </c>
      <c r="AI19" s="5">
        <f>I19-V19</f>
        <v/>
      </c>
      <c r="AJ19" s="5">
        <f>J19-W19</f>
        <v/>
      </c>
      <c r="AK19" s="5">
        <f>K19-X19</f>
        <v/>
      </c>
      <c r="AL19" s="5">
        <f>L19-Y19</f>
        <v/>
      </c>
      <c r="AM19" s="5">
        <f>M19-Z19</f>
        <v/>
      </c>
      <c r="AN19" s="5">
        <f>N19-AA19</f>
        <v/>
      </c>
      <c r="AO19" s="7">
        <f>A19</f>
        <v/>
      </c>
      <c r="AP19" s="6" t="n"/>
      <c r="AQ19" s="6" t="n"/>
      <c r="AR19" s="6" t="n"/>
      <c r="AS19" s="6" t="n"/>
      <c r="AT19" s="5" t="n">
        <v>451.1</v>
      </c>
      <c r="AU19" s="6" t="n"/>
      <c r="AV19" s="6" t="n"/>
      <c r="AW19" s="6" t="n"/>
      <c r="AX19" s="6" t="n"/>
      <c r="AY19" s="6" t="n"/>
      <c r="AZ19" s="6" t="n"/>
      <c r="BA19" s="6" t="n"/>
      <c r="BB19" s="6" t="n"/>
    </row>
    <row r="20">
      <c r="A20" s="4" t="n">
        <v>46099</v>
      </c>
      <c r="B20" s="5" t="n">
        <v>22489.19</v>
      </c>
      <c r="C20" s="5" t="n">
        <v>14626.82</v>
      </c>
      <c r="D20" s="6" t="n"/>
      <c r="E20" s="5" t="n">
        <v>148805.87</v>
      </c>
      <c r="F20" s="5" t="n">
        <v>187758.22</v>
      </c>
      <c r="G20" s="5" t="n">
        <v>6270.71</v>
      </c>
      <c r="H20" s="5" t="n">
        <v>21725</v>
      </c>
      <c r="I20" s="5" t="n">
        <v>129896.69</v>
      </c>
      <c r="J20" s="5" t="n">
        <v>10085</v>
      </c>
      <c r="K20" s="5" t="n">
        <v>17470.74</v>
      </c>
      <c r="L20" s="5" t="n">
        <v>87165</v>
      </c>
      <c r="M20" s="5" t="n">
        <v>4930.79</v>
      </c>
      <c r="N20" s="5" t="n">
        <v>120043.16</v>
      </c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5">
        <f>B20-O20</f>
        <v/>
      </c>
      <c r="AC20" s="5">
        <f>C20-P20</f>
        <v/>
      </c>
      <c r="AD20" s="5">
        <f>D20-Q20</f>
        <v/>
      </c>
      <c r="AE20" s="5">
        <f>E20-R20</f>
        <v/>
      </c>
      <c r="AF20" s="5">
        <f>F20-S20</f>
        <v/>
      </c>
      <c r="AG20" s="5">
        <f>G20-T20</f>
        <v/>
      </c>
      <c r="AH20" s="5">
        <f>H20-U20</f>
        <v/>
      </c>
      <c r="AI20" s="5">
        <f>I20-V20</f>
        <v/>
      </c>
      <c r="AJ20" s="5">
        <f>J20-W20</f>
        <v/>
      </c>
      <c r="AK20" s="5">
        <f>K20-X20</f>
        <v/>
      </c>
      <c r="AL20" s="5">
        <f>L20-Y20</f>
        <v/>
      </c>
      <c r="AM20" s="5">
        <f>M20-Z20</f>
        <v/>
      </c>
      <c r="AN20" s="5">
        <f>N20-AA20</f>
        <v/>
      </c>
      <c r="AO20" s="7">
        <f>A20</f>
        <v/>
      </c>
      <c r="AP20" s="6" t="n"/>
      <c r="AQ20" s="6" t="n"/>
      <c r="AR20" s="6" t="n"/>
      <c r="AS20" s="6" t="n"/>
      <c r="AT20" s="5" t="n">
        <v>466.5</v>
      </c>
      <c r="AU20" s="6" t="n"/>
      <c r="AV20" s="6" t="n"/>
      <c r="AW20" s="6" t="n"/>
      <c r="AX20" s="6" t="n"/>
      <c r="AY20" s="6" t="n"/>
      <c r="AZ20" s="6" t="n"/>
      <c r="BA20" s="6" t="n"/>
      <c r="BB20" s="6" t="n"/>
    </row>
    <row r="21">
      <c r="A21" s="4" t="n">
        <v>46100</v>
      </c>
      <c r="B21" s="6" t="n"/>
      <c r="C21" s="5" t="n">
        <v>12314.88</v>
      </c>
      <c r="D21" s="6" t="n"/>
      <c r="E21" s="5" t="n">
        <v>25005.83</v>
      </c>
      <c r="F21" s="5" t="n">
        <v>185646.46</v>
      </c>
      <c r="G21" s="5" t="n">
        <v>5130.11</v>
      </c>
      <c r="H21" s="5" t="n">
        <v>105535</v>
      </c>
      <c r="I21" s="5" t="n">
        <v>188488.37</v>
      </c>
      <c r="J21" s="5" t="n">
        <v>20130</v>
      </c>
      <c r="K21" s="5" t="n">
        <v>1383.41</v>
      </c>
      <c r="L21" s="5" t="n">
        <v>7380</v>
      </c>
      <c r="M21" s="5" t="n">
        <v>32391.12</v>
      </c>
      <c r="N21" s="5" t="n">
        <v>124032.78</v>
      </c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5">
        <f>B21-O21</f>
        <v/>
      </c>
      <c r="AC21" s="5">
        <f>C21-P21</f>
        <v/>
      </c>
      <c r="AD21" s="5">
        <f>D21-Q21</f>
        <v/>
      </c>
      <c r="AE21" s="5">
        <f>E21-R21</f>
        <v/>
      </c>
      <c r="AF21" s="5">
        <f>F21-S21</f>
        <v/>
      </c>
      <c r="AG21" s="5">
        <f>G21-T21</f>
        <v/>
      </c>
      <c r="AH21" s="5">
        <f>H21-U21</f>
        <v/>
      </c>
      <c r="AI21" s="5">
        <f>I21-V21</f>
        <v/>
      </c>
      <c r="AJ21" s="5">
        <f>J21-W21</f>
        <v/>
      </c>
      <c r="AK21" s="5">
        <f>K21-X21</f>
        <v/>
      </c>
      <c r="AL21" s="5">
        <f>L21-Y21</f>
        <v/>
      </c>
      <c r="AM21" s="5">
        <f>M21-Z21</f>
        <v/>
      </c>
      <c r="AN21" s="5">
        <f>N21-AA21</f>
        <v/>
      </c>
      <c r="AO21" s="7">
        <f>A21</f>
        <v/>
      </c>
      <c r="AP21" s="6" t="n"/>
      <c r="AQ21" s="6" t="n"/>
      <c r="AR21" s="6" t="n"/>
      <c r="AS21" s="6" t="n"/>
      <c r="AT21" s="5" t="n">
        <v>1178</v>
      </c>
      <c r="AU21" s="6" t="n"/>
      <c r="AV21" s="6" t="n"/>
      <c r="AW21" s="6" t="n"/>
      <c r="AX21" s="6" t="n"/>
      <c r="AY21" s="6" t="n"/>
      <c r="AZ21" s="6" t="n"/>
      <c r="BA21" s="6" t="n"/>
      <c r="BB21" s="6" t="n"/>
    </row>
    <row r="22">
      <c r="A22" s="4" t="n">
        <v>46101</v>
      </c>
      <c r="B22" s="6" t="n"/>
      <c r="C22" s="5" t="n">
        <v>75452.00999999999</v>
      </c>
      <c r="D22" s="5" t="n">
        <v>1541</v>
      </c>
      <c r="E22" s="5" t="n">
        <v>62563.05</v>
      </c>
      <c r="F22" s="5" t="n">
        <v>292368.39</v>
      </c>
      <c r="G22" s="6" t="n"/>
      <c r="H22" s="5" t="n">
        <v>6998</v>
      </c>
      <c r="I22" s="5" t="n">
        <v>401455.36</v>
      </c>
      <c r="J22" s="6" t="n"/>
      <c r="K22" s="5" t="n">
        <v>74331.99000000001</v>
      </c>
      <c r="L22" s="5" t="n">
        <v>62614</v>
      </c>
      <c r="M22" s="5" t="n">
        <v>16806.92</v>
      </c>
      <c r="N22" s="5" t="n">
        <v>159860.35</v>
      </c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5">
        <f>B22-O22</f>
        <v/>
      </c>
      <c r="AC22" s="5">
        <f>C22-P22</f>
        <v/>
      </c>
      <c r="AD22" s="5">
        <f>D22-Q22</f>
        <v/>
      </c>
      <c r="AE22" s="5">
        <f>E22-R22</f>
        <v/>
      </c>
      <c r="AF22" s="5">
        <f>F22-S22</f>
        <v/>
      </c>
      <c r="AG22" s="5">
        <f>G22-T22</f>
        <v/>
      </c>
      <c r="AH22" s="5">
        <f>H22-U22</f>
        <v/>
      </c>
      <c r="AI22" s="5">
        <f>I22-V22</f>
        <v/>
      </c>
      <c r="AJ22" s="5">
        <f>J22-W22</f>
        <v/>
      </c>
      <c r="AK22" s="5">
        <f>K22-X22</f>
        <v/>
      </c>
      <c r="AL22" s="5">
        <f>L22-Y22</f>
        <v/>
      </c>
      <c r="AM22" s="5">
        <f>M22-Z22</f>
        <v/>
      </c>
      <c r="AN22" s="5">
        <f>N22-AA22</f>
        <v/>
      </c>
      <c r="AO22" s="7">
        <f>A22</f>
        <v/>
      </c>
      <c r="AP22" s="6" t="n"/>
      <c r="AQ22" s="6" t="n"/>
      <c r="AR22" s="6" t="n"/>
      <c r="AS22" s="6" t="n"/>
      <c r="AT22" s="5" t="n">
        <v>1049.5</v>
      </c>
      <c r="AU22" s="6" t="n"/>
      <c r="AV22" s="6" t="n"/>
      <c r="AW22" s="6" t="n"/>
      <c r="AX22" s="6" t="n"/>
      <c r="AY22" s="6" t="n"/>
      <c r="AZ22" s="6" t="n"/>
      <c r="BA22" s="6" t="n"/>
      <c r="BB22" s="6" t="n"/>
    </row>
    <row r="23">
      <c r="A23" s="4" t="n">
        <v>46102</v>
      </c>
      <c r="B23" s="6" t="n"/>
      <c r="C23" s="6" t="n"/>
      <c r="D23" s="6" t="n"/>
      <c r="E23" s="5" t="n">
        <v>2490.2</v>
      </c>
      <c r="F23" s="5" t="n">
        <v>29898.24</v>
      </c>
      <c r="G23" s="6" t="n"/>
      <c r="H23" s="6" t="n"/>
      <c r="I23" s="5" t="n">
        <v>156119.55</v>
      </c>
      <c r="J23" s="6" t="n"/>
      <c r="K23" s="6" t="n"/>
      <c r="L23" s="6" t="n"/>
      <c r="M23" s="5" t="n">
        <v>5275.59</v>
      </c>
      <c r="N23" s="5" t="n">
        <v>229817.24</v>
      </c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5">
        <f>B23-O23</f>
        <v/>
      </c>
      <c r="AC23" s="5">
        <f>C23-P23</f>
        <v/>
      </c>
      <c r="AD23" s="5">
        <f>D23-Q23</f>
        <v/>
      </c>
      <c r="AE23" s="5">
        <f>E23-R23</f>
        <v/>
      </c>
      <c r="AF23" s="5">
        <f>F23-S23</f>
        <v/>
      </c>
      <c r="AG23" s="5">
        <f>G23-T23</f>
        <v/>
      </c>
      <c r="AH23" s="5">
        <f>H23-U23</f>
        <v/>
      </c>
      <c r="AI23" s="5">
        <f>I23-V23</f>
        <v/>
      </c>
      <c r="AJ23" s="5">
        <f>J23-W23</f>
        <v/>
      </c>
      <c r="AK23" s="5">
        <f>K23-X23</f>
        <v/>
      </c>
      <c r="AL23" s="5">
        <f>L23-Y23</f>
        <v/>
      </c>
      <c r="AM23" s="5">
        <f>M23-Z23</f>
        <v/>
      </c>
      <c r="AN23" s="5">
        <f>N23-AA23</f>
        <v/>
      </c>
      <c r="AO23" s="7">
        <f>A23</f>
        <v/>
      </c>
      <c r="AP23" s="6" t="n"/>
      <c r="AQ23" s="6" t="n"/>
      <c r="AR23" s="6" t="n"/>
      <c r="AS23" s="6" t="n"/>
      <c r="AT23" s="5" t="n">
        <v>449.5</v>
      </c>
      <c r="AU23" s="6" t="n"/>
      <c r="AV23" s="6" t="n"/>
      <c r="AW23" s="6" t="n"/>
      <c r="AX23" s="6" t="n"/>
      <c r="AY23" s="6" t="n"/>
      <c r="AZ23" s="6" t="n"/>
      <c r="BA23" s="6" t="n"/>
      <c r="BB23" s="6" t="n"/>
    </row>
    <row r="24">
      <c r="A24" s="4" t="n">
        <v>46103</v>
      </c>
      <c r="B24" s="6" t="n"/>
      <c r="C24" s="5" t="n">
        <v>18634.27</v>
      </c>
      <c r="D24" s="6" t="n"/>
      <c r="E24" s="5" t="n">
        <v>8684.09</v>
      </c>
      <c r="F24" s="5" t="n">
        <v>19779.05</v>
      </c>
      <c r="G24" s="6" t="n"/>
      <c r="H24" s="6" t="n"/>
      <c r="I24" s="5" t="n">
        <v>76563.64</v>
      </c>
      <c r="J24" s="6" t="n"/>
      <c r="K24" s="5" t="n">
        <v>849.37</v>
      </c>
      <c r="L24" s="6" t="n"/>
      <c r="M24" s="5" t="n">
        <v>4984.05</v>
      </c>
      <c r="N24" s="5" t="n">
        <v>203209.13</v>
      </c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5">
        <f>B24-O24</f>
        <v/>
      </c>
      <c r="AC24" s="5">
        <f>C24-P24</f>
        <v/>
      </c>
      <c r="AD24" s="5">
        <f>D24-Q24</f>
        <v/>
      </c>
      <c r="AE24" s="5">
        <f>E24-R24</f>
        <v/>
      </c>
      <c r="AF24" s="5">
        <f>F24-S24</f>
        <v/>
      </c>
      <c r="AG24" s="5">
        <f>G24-T24</f>
        <v/>
      </c>
      <c r="AH24" s="5">
        <f>H24-U24</f>
        <v/>
      </c>
      <c r="AI24" s="5">
        <f>I24-V24</f>
        <v/>
      </c>
      <c r="AJ24" s="5">
        <f>J24-W24</f>
        <v/>
      </c>
      <c r="AK24" s="5">
        <f>K24-X24</f>
        <v/>
      </c>
      <c r="AL24" s="5">
        <f>L24-Y24</f>
        <v/>
      </c>
      <c r="AM24" s="5">
        <f>M24-Z24</f>
        <v/>
      </c>
      <c r="AN24" s="5">
        <f>N24-AA24</f>
        <v/>
      </c>
      <c r="AO24" s="7">
        <f>A24</f>
        <v/>
      </c>
      <c r="AP24" s="6" t="n"/>
      <c r="AQ24" s="6" t="n"/>
      <c r="AR24" s="6" t="n"/>
      <c r="AS24" s="6" t="n"/>
      <c r="AT24" s="5" t="n">
        <v>131</v>
      </c>
      <c r="AU24" s="6" t="n"/>
      <c r="AV24" s="6" t="n"/>
      <c r="AW24" s="6" t="n"/>
      <c r="AX24" s="6" t="n"/>
      <c r="AY24" s="6" t="n"/>
      <c r="AZ24" s="6" t="n"/>
      <c r="BA24" s="6" t="n"/>
      <c r="BB24" s="6" t="n"/>
    </row>
    <row r="25">
      <c r="A25" s="4" t="n">
        <v>46104</v>
      </c>
      <c r="B25" s="6" t="n"/>
      <c r="C25" s="5" t="n">
        <v>39797.49</v>
      </c>
      <c r="D25" s="6" t="n"/>
      <c r="E25" s="5" t="n">
        <v>45395.33</v>
      </c>
      <c r="F25" s="5" t="n">
        <v>75387.95</v>
      </c>
      <c r="G25" s="6" t="n"/>
      <c r="H25" s="5" t="n">
        <v>140</v>
      </c>
      <c r="I25" s="5" t="n">
        <v>89958.34</v>
      </c>
      <c r="J25" s="5" t="n">
        <v>9100</v>
      </c>
      <c r="K25" s="5" t="n">
        <v>15019.49</v>
      </c>
      <c r="L25" s="5" t="n">
        <v>82290</v>
      </c>
      <c r="M25" s="5" t="n">
        <v>4197.88</v>
      </c>
      <c r="N25" s="5" t="n">
        <v>145967.58</v>
      </c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5">
        <f>B25-O25</f>
        <v/>
      </c>
      <c r="AC25" s="5">
        <f>C25-P25</f>
        <v/>
      </c>
      <c r="AD25" s="5">
        <f>D25-Q25</f>
        <v/>
      </c>
      <c r="AE25" s="5">
        <f>E25-R25</f>
        <v/>
      </c>
      <c r="AF25" s="5">
        <f>F25-S25</f>
        <v/>
      </c>
      <c r="AG25" s="5">
        <f>G25-T25</f>
        <v/>
      </c>
      <c r="AH25" s="5">
        <f>H25-U25</f>
        <v/>
      </c>
      <c r="AI25" s="5">
        <f>I25-V25</f>
        <v/>
      </c>
      <c r="AJ25" s="5">
        <f>J25-W25</f>
        <v/>
      </c>
      <c r="AK25" s="5">
        <f>K25-X25</f>
        <v/>
      </c>
      <c r="AL25" s="5">
        <f>L25-Y25</f>
        <v/>
      </c>
      <c r="AM25" s="5">
        <f>M25-Z25</f>
        <v/>
      </c>
      <c r="AN25" s="5">
        <f>N25-AA25</f>
        <v/>
      </c>
      <c r="AO25" s="7">
        <f>A25</f>
        <v/>
      </c>
      <c r="AP25" s="6" t="n"/>
      <c r="AQ25" s="6" t="n"/>
      <c r="AR25" s="6" t="n"/>
      <c r="AS25" s="6" t="n"/>
      <c r="AT25" s="5" t="n">
        <v>425</v>
      </c>
      <c r="AU25" s="6" t="n"/>
      <c r="AV25" s="6" t="n"/>
      <c r="AW25" s="6" t="n"/>
      <c r="AX25" s="6" t="n"/>
      <c r="AY25" s="6" t="n"/>
      <c r="AZ25" s="6" t="n"/>
      <c r="BA25" s="6" t="n"/>
      <c r="BB25" s="6" t="n"/>
    </row>
    <row r="26">
      <c r="A26" s="4" t="n">
        <v>46105</v>
      </c>
      <c r="B26" s="5" t="n">
        <v>8227</v>
      </c>
      <c r="C26" s="5" t="n">
        <v>27017.28</v>
      </c>
      <c r="D26" s="6" t="n"/>
      <c r="E26" s="5" t="n">
        <v>26515.48</v>
      </c>
      <c r="F26" s="5" t="n">
        <v>43020.87</v>
      </c>
      <c r="G26" s="5" t="n">
        <v>176.42</v>
      </c>
      <c r="H26" s="5" t="n">
        <v>16350</v>
      </c>
      <c r="I26" s="5" t="n">
        <v>90239.17</v>
      </c>
      <c r="J26" s="6" t="n"/>
      <c r="K26" s="5" t="n">
        <v>6305.64</v>
      </c>
      <c r="L26" s="5" t="n">
        <v>1590</v>
      </c>
      <c r="M26" s="5" t="n">
        <v>2474.01</v>
      </c>
      <c r="N26" s="5" t="n">
        <v>125399.39</v>
      </c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5">
        <f>B26-O26</f>
        <v/>
      </c>
      <c r="AC26" s="5">
        <f>C26-P26</f>
        <v/>
      </c>
      <c r="AD26" s="5">
        <f>D26-Q26</f>
        <v/>
      </c>
      <c r="AE26" s="5">
        <f>E26-R26</f>
        <v/>
      </c>
      <c r="AF26" s="5">
        <f>F26-S26</f>
        <v/>
      </c>
      <c r="AG26" s="5">
        <f>G26-T26</f>
        <v/>
      </c>
      <c r="AH26" s="5">
        <f>H26-U26</f>
        <v/>
      </c>
      <c r="AI26" s="5">
        <f>I26-V26</f>
        <v/>
      </c>
      <c r="AJ26" s="5">
        <f>J26-W26</f>
        <v/>
      </c>
      <c r="AK26" s="5">
        <f>K26-X26</f>
        <v/>
      </c>
      <c r="AL26" s="5">
        <f>L26-Y26</f>
        <v/>
      </c>
      <c r="AM26" s="5">
        <f>M26-Z26</f>
        <v/>
      </c>
      <c r="AN26" s="5">
        <f>N26-AA26</f>
        <v/>
      </c>
      <c r="AO26" s="7">
        <f>A26</f>
        <v/>
      </c>
      <c r="AP26" s="6" t="n"/>
      <c r="AQ26" s="6" t="n"/>
      <c r="AR26" s="6" t="n"/>
      <c r="AS26" s="6" t="n"/>
      <c r="AT26" s="5" t="n">
        <v>297</v>
      </c>
      <c r="AU26" s="6" t="n"/>
      <c r="AV26" s="6" t="n"/>
      <c r="AW26" s="6" t="n"/>
      <c r="AX26" s="6" t="n"/>
      <c r="AY26" s="6" t="n"/>
      <c r="AZ26" s="6" t="n"/>
      <c r="BA26" s="6" t="n"/>
      <c r="BB26" s="6" t="n"/>
    </row>
    <row r="27">
      <c r="A27" s="4" t="n">
        <v>46106</v>
      </c>
      <c r="B27" s="6" t="n"/>
      <c r="C27" s="5" t="n">
        <v>8732.139999999999</v>
      </c>
      <c r="D27" s="6" t="n"/>
      <c r="E27" s="5" t="n">
        <v>14860.21</v>
      </c>
      <c r="F27" s="5" t="n">
        <v>97810.53</v>
      </c>
      <c r="G27" s="5" t="n">
        <v>1404.4</v>
      </c>
      <c r="H27" s="5" t="n">
        <v>8250</v>
      </c>
      <c r="I27" s="5" t="n">
        <v>134493.87</v>
      </c>
      <c r="J27" s="5" t="n">
        <v>33885</v>
      </c>
      <c r="K27" s="5" t="n">
        <v>11566.48</v>
      </c>
      <c r="L27" s="5" t="n">
        <v>910</v>
      </c>
      <c r="M27" s="5" t="n">
        <v>5687.56</v>
      </c>
      <c r="N27" s="5" t="n">
        <v>127712.72</v>
      </c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5">
        <f>B27-O27</f>
        <v/>
      </c>
      <c r="AC27" s="5">
        <f>C27-P27</f>
        <v/>
      </c>
      <c r="AD27" s="5">
        <f>D27-Q27</f>
        <v/>
      </c>
      <c r="AE27" s="5">
        <f>E27-R27</f>
        <v/>
      </c>
      <c r="AF27" s="5">
        <f>F27-S27</f>
        <v/>
      </c>
      <c r="AG27" s="5">
        <f>G27-T27</f>
        <v/>
      </c>
      <c r="AH27" s="5">
        <f>H27-U27</f>
        <v/>
      </c>
      <c r="AI27" s="5">
        <f>I27-V27</f>
        <v/>
      </c>
      <c r="AJ27" s="5">
        <f>J27-W27</f>
        <v/>
      </c>
      <c r="AK27" s="5">
        <f>K27-X27</f>
        <v/>
      </c>
      <c r="AL27" s="5">
        <f>L27-Y27</f>
        <v/>
      </c>
      <c r="AM27" s="5">
        <f>M27-Z27</f>
        <v/>
      </c>
      <c r="AN27" s="5">
        <f>N27-AA27</f>
        <v/>
      </c>
      <c r="AO27" s="7">
        <f>A27</f>
        <v/>
      </c>
      <c r="AP27" s="6" t="n"/>
      <c r="AQ27" s="6" t="n"/>
      <c r="AR27" s="6" t="n"/>
      <c r="AS27" s="6" t="n"/>
      <c r="AT27" s="5" t="n">
        <v>889.05</v>
      </c>
      <c r="AU27" s="6" t="n"/>
      <c r="AV27" s="6" t="n"/>
      <c r="AW27" s="5" t="n">
        <v>1618.6</v>
      </c>
      <c r="AX27" s="6" t="n"/>
      <c r="AY27" s="6" t="n"/>
      <c r="AZ27" s="6" t="n"/>
      <c r="BA27" s="6" t="n"/>
      <c r="BB27" s="6" t="n"/>
    </row>
    <row r="28">
      <c r="A28" s="4" t="n">
        <v>46107</v>
      </c>
      <c r="B28" s="5" t="n">
        <v>15885</v>
      </c>
      <c r="C28" s="5" t="n">
        <v>7269.53</v>
      </c>
      <c r="D28" s="6" t="n"/>
      <c r="E28" s="5" t="n">
        <v>13558.43</v>
      </c>
      <c r="F28" s="5" t="n">
        <v>123087.87</v>
      </c>
      <c r="G28" s="5" t="n">
        <v>9</v>
      </c>
      <c r="H28" s="5" t="n">
        <v>4605</v>
      </c>
      <c r="I28" s="5" t="n">
        <v>154687.6</v>
      </c>
      <c r="J28" s="5" t="n">
        <v>13790</v>
      </c>
      <c r="K28" s="5" t="n">
        <v>2634.68</v>
      </c>
      <c r="L28" s="5" t="n">
        <v>29040</v>
      </c>
      <c r="M28" s="5" t="n">
        <v>9488.24</v>
      </c>
      <c r="N28" s="5" t="n">
        <v>2837.57</v>
      </c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5">
        <f>B28-O28</f>
        <v/>
      </c>
      <c r="AC28" s="5">
        <f>C28-P28</f>
        <v/>
      </c>
      <c r="AD28" s="5">
        <f>D28-Q28</f>
        <v/>
      </c>
      <c r="AE28" s="5">
        <f>E28-R28</f>
        <v/>
      </c>
      <c r="AF28" s="5">
        <f>F28-S28</f>
        <v/>
      </c>
      <c r="AG28" s="5">
        <f>G28-T28</f>
        <v/>
      </c>
      <c r="AH28" s="5">
        <f>H28-U28</f>
        <v/>
      </c>
      <c r="AI28" s="5">
        <f>I28-V28</f>
        <v/>
      </c>
      <c r="AJ28" s="5">
        <f>J28-W28</f>
        <v/>
      </c>
      <c r="AK28" s="5">
        <f>K28-X28</f>
        <v/>
      </c>
      <c r="AL28" s="5">
        <f>L28-Y28</f>
        <v/>
      </c>
      <c r="AM28" s="5">
        <f>M28-Z28</f>
        <v/>
      </c>
      <c r="AN28" s="5">
        <f>N28-AA28</f>
        <v/>
      </c>
      <c r="AO28" s="7">
        <f>A28</f>
        <v/>
      </c>
      <c r="AP28" s="6" t="n"/>
      <c r="AQ28" s="6" t="n"/>
      <c r="AR28" s="6" t="n"/>
      <c r="AS28" s="6" t="n"/>
      <c r="AT28" s="5" t="n">
        <v>783.99</v>
      </c>
      <c r="AU28" s="6" t="n"/>
      <c r="AV28" s="6" t="n"/>
      <c r="AW28" s="6" t="n"/>
      <c r="AX28" s="6" t="n"/>
      <c r="AY28" s="6" t="n"/>
      <c r="AZ28" s="6" t="n"/>
      <c r="BA28" s="6" t="n"/>
      <c r="BB28" s="5" t="n">
        <v>204236.1</v>
      </c>
    </row>
    <row r="29">
      <c r="A29" s="4" t="n">
        <v>46108</v>
      </c>
      <c r="B29" s="6" t="n"/>
      <c r="C29" s="6" t="n"/>
      <c r="D29" s="6" t="n"/>
      <c r="E29" s="6" t="n"/>
      <c r="F29" s="6" t="n"/>
      <c r="G29" s="6" t="n"/>
      <c r="H29" s="5" t="n">
        <v>22212</v>
      </c>
      <c r="I29" s="6" t="n"/>
      <c r="J29" s="5" t="n">
        <v>5460</v>
      </c>
      <c r="K29" s="6" t="n"/>
      <c r="L29" s="5" t="n">
        <v>25135</v>
      </c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5">
        <f>B29-O29</f>
        <v/>
      </c>
      <c r="AC29" s="5">
        <f>C29-P29</f>
        <v/>
      </c>
      <c r="AD29" s="5">
        <f>D29-Q29</f>
        <v/>
      </c>
      <c r="AE29" s="5">
        <f>E29-R29</f>
        <v/>
      </c>
      <c r="AF29" s="5">
        <f>F29-S29</f>
        <v/>
      </c>
      <c r="AG29" s="5">
        <f>G29-T29</f>
        <v/>
      </c>
      <c r="AH29" s="5">
        <f>H29-U29</f>
        <v/>
      </c>
      <c r="AI29" s="5">
        <f>I29-V29</f>
        <v/>
      </c>
      <c r="AJ29" s="5">
        <f>J29-W29</f>
        <v/>
      </c>
      <c r="AK29" s="5">
        <f>K29-X29</f>
        <v/>
      </c>
      <c r="AL29" s="5">
        <f>L29-Y29</f>
        <v/>
      </c>
      <c r="AM29" s="5">
        <f>M29-Z29</f>
        <v/>
      </c>
      <c r="AN29" s="5">
        <f>N29-AA29</f>
        <v/>
      </c>
      <c r="AO29" s="7">
        <f>A29</f>
        <v/>
      </c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5" t="n">
        <v>16500.14</v>
      </c>
      <c r="BA29" s="6" t="n"/>
      <c r="BB29" s="5" t="n">
        <v>190620.22</v>
      </c>
    </row>
    <row r="30">
      <c r="A30" s="4" t="n">
        <v>46109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5">
        <f>B30-O30</f>
        <v/>
      </c>
      <c r="AC30" s="5">
        <f>C30-P30</f>
        <v/>
      </c>
      <c r="AD30" s="5">
        <f>D30-Q30</f>
        <v/>
      </c>
      <c r="AE30" s="5">
        <f>E30-R30</f>
        <v/>
      </c>
      <c r="AF30" s="5">
        <f>F30-S30</f>
        <v/>
      </c>
      <c r="AG30" s="5">
        <f>G30-T30</f>
        <v/>
      </c>
      <c r="AH30" s="5">
        <f>H30-U30</f>
        <v/>
      </c>
      <c r="AI30" s="5">
        <f>I30-V30</f>
        <v/>
      </c>
      <c r="AJ30" s="5">
        <f>J30-W30</f>
        <v/>
      </c>
      <c r="AK30" s="5">
        <f>K30-X30</f>
        <v/>
      </c>
      <c r="AL30" s="5">
        <f>L30-Y30</f>
        <v/>
      </c>
      <c r="AM30" s="5">
        <f>M30-Z30</f>
        <v/>
      </c>
      <c r="AN30" s="5">
        <f>N30-AA30</f>
        <v/>
      </c>
      <c r="AO30" s="7">
        <f>A30</f>
        <v/>
      </c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</row>
    <row r="31">
      <c r="A31" s="4" t="n">
        <v>46110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5">
        <f>B31-O31</f>
        <v/>
      </c>
      <c r="AC31" s="5">
        <f>C31-P31</f>
        <v/>
      </c>
      <c r="AD31" s="5">
        <f>D31-Q31</f>
        <v/>
      </c>
      <c r="AE31" s="5">
        <f>E31-R31</f>
        <v/>
      </c>
      <c r="AF31" s="5">
        <f>F31-S31</f>
        <v/>
      </c>
      <c r="AG31" s="5">
        <f>G31-T31</f>
        <v/>
      </c>
      <c r="AH31" s="5">
        <f>H31-U31</f>
        <v/>
      </c>
      <c r="AI31" s="5">
        <f>I31-V31</f>
        <v/>
      </c>
      <c r="AJ31" s="5">
        <f>J31-W31</f>
        <v/>
      </c>
      <c r="AK31" s="5">
        <f>K31-X31</f>
        <v/>
      </c>
      <c r="AL31" s="5">
        <f>L31-Y31</f>
        <v/>
      </c>
      <c r="AM31" s="5">
        <f>M31-Z31</f>
        <v/>
      </c>
      <c r="AN31" s="5">
        <f>N31-AA31</f>
        <v/>
      </c>
      <c r="AO31" s="7">
        <f>A31</f>
        <v/>
      </c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</row>
    <row r="32">
      <c r="A32" s="4" t="n">
        <v>46111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5">
        <f>B32-O32</f>
        <v/>
      </c>
      <c r="AC32" s="5">
        <f>C32-P32</f>
        <v/>
      </c>
      <c r="AD32" s="5">
        <f>D32-Q32</f>
        <v/>
      </c>
      <c r="AE32" s="5">
        <f>E32-R32</f>
        <v/>
      </c>
      <c r="AF32" s="5">
        <f>F32-S32</f>
        <v/>
      </c>
      <c r="AG32" s="5">
        <f>G32-T32</f>
        <v/>
      </c>
      <c r="AH32" s="5">
        <f>H32-U32</f>
        <v/>
      </c>
      <c r="AI32" s="5">
        <f>I32-V32</f>
        <v/>
      </c>
      <c r="AJ32" s="5">
        <f>J32-W32</f>
        <v/>
      </c>
      <c r="AK32" s="5">
        <f>K32-X32</f>
        <v/>
      </c>
      <c r="AL32" s="5">
        <f>L32-Y32</f>
        <v/>
      </c>
      <c r="AM32" s="5">
        <f>M32-Z32</f>
        <v/>
      </c>
      <c r="AN32" s="5">
        <f>N32-AA32</f>
        <v/>
      </c>
      <c r="AO32" s="7">
        <f>A32</f>
        <v/>
      </c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</row>
    <row r="33">
      <c r="A33" s="4" t="n">
        <v>46112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5">
        <f>B33-O33</f>
        <v/>
      </c>
      <c r="AC33" s="5">
        <f>C33-P33</f>
        <v/>
      </c>
      <c r="AD33" s="5">
        <f>D33-Q33</f>
        <v/>
      </c>
      <c r="AE33" s="5">
        <f>E33-R33</f>
        <v/>
      </c>
      <c r="AF33" s="5">
        <f>F33-S33</f>
        <v/>
      </c>
      <c r="AG33" s="5">
        <f>G33-T33</f>
        <v/>
      </c>
      <c r="AH33" s="5">
        <f>H33-U33</f>
        <v/>
      </c>
      <c r="AI33" s="5">
        <f>I33-V33</f>
        <v/>
      </c>
      <c r="AJ33" s="5">
        <f>J33-W33</f>
        <v/>
      </c>
      <c r="AK33" s="5">
        <f>K33-X33</f>
        <v/>
      </c>
      <c r="AL33" s="5">
        <f>L33-Y33</f>
        <v/>
      </c>
      <c r="AM33" s="5">
        <f>M33-Z33</f>
        <v/>
      </c>
      <c r="AN33" s="5">
        <f>N33-AA33</f>
        <v/>
      </c>
      <c r="AO33" s="7">
        <f>A33</f>
        <v/>
      </c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</row>
    <row r="34">
      <c r="A34" s="8" t="inlineStr">
        <is>
          <t>TOTAL</t>
        </is>
      </c>
      <c r="B34" s="9">
        <f>SUM(B3:B33)</f>
        <v/>
      </c>
      <c r="C34" s="9">
        <f>SUM(C3:C33)</f>
        <v/>
      </c>
      <c r="D34" s="9">
        <f>SUM(D3:D33)</f>
        <v/>
      </c>
      <c r="E34" s="9">
        <f>SUM(E3:E33)</f>
        <v/>
      </c>
      <c r="F34" s="9">
        <f>SUM(F3:F33)</f>
        <v/>
      </c>
      <c r="G34" s="9">
        <f>SUM(G3:G33)</f>
        <v/>
      </c>
      <c r="H34" s="9">
        <f>SUM(H3:H33)</f>
        <v/>
      </c>
      <c r="I34" s="9">
        <f>SUM(I3:I33)</f>
        <v/>
      </c>
      <c r="J34" s="9">
        <f>SUM(J3:J33)</f>
        <v/>
      </c>
      <c r="K34" s="9">
        <f>SUM(K3:K33)</f>
        <v/>
      </c>
      <c r="L34" s="9">
        <f>SUM(L3:L33)</f>
        <v/>
      </c>
      <c r="M34" s="9">
        <f>SUM(M3:M33)</f>
        <v/>
      </c>
      <c r="N34" s="9">
        <f>SUM(N3:N33)</f>
        <v/>
      </c>
      <c r="O34" s="9">
        <f>SUM(O3:O33)</f>
        <v/>
      </c>
      <c r="P34" s="9">
        <f>SUM(P3:P33)</f>
        <v/>
      </c>
      <c r="Q34" s="9">
        <f>SUM(Q3:Q33)</f>
        <v/>
      </c>
      <c r="R34" s="9">
        <f>SUM(R3:R33)</f>
        <v/>
      </c>
      <c r="S34" s="9">
        <f>SUM(S3:S33)</f>
        <v/>
      </c>
      <c r="T34" s="9">
        <f>SUM(T3:T33)</f>
        <v/>
      </c>
      <c r="U34" s="9">
        <f>SUM(U3:U33)</f>
        <v/>
      </c>
      <c r="V34" s="9">
        <f>SUM(V3:V33)</f>
        <v/>
      </c>
      <c r="W34" s="9">
        <f>SUM(W3:W33)</f>
        <v/>
      </c>
      <c r="X34" s="9">
        <f>SUM(X3:X33)</f>
        <v/>
      </c>
      <c r="Y34" s="9">
        <f>SUM(Y3:Y33)</f>
        <v/>
      </c>
      <c r="Z34" s="9">
        <f>SUM(Z3:Z33)</f>
        <v/>
      </c>
      <c r="AA34" s="9">
        <f>SUM(AA3:AA33)</f>
        <v/>
      </c>
      <c r="AB34" s="9">
        <f>SUM(AB3:AB33)</f>
        <v/>
      </c>
      <c r="AC34" s="9">
        <f>SUM(AC3:AC33)</f>
        <v/>
      </c>
      <c r="AD34" s="9">
        <f>SUM(AD3:AD33)</f>
        <v/>
      </c>
      <c r="AE34" s="9">
        <f>SUM(AE3:AE33)</f>
        <v/>
      </c>
      <c r="AF34" s="9">
        <f>SUM(AF3:AF33)</f>
        <v/>
      </c>
      <c r="AG34" s="9">
        <f>SUM(AG3:AG33)</f>
        <v/>
      </c>
      <c r="AH34" s="9">
        <f>SUM(AH3:AH33)</f>
        <v/>
      </c>
      <c r="AI34" s="9">
        <f>SUM(AI3:AI33)</f>
        <v/>
      </c>
      <c r="AJ34" s="9">
        <f>SUM(AJ3:AJ33)</f>
        <v/>
      </c>
      <c r="AK34" s="9">
        <f>SUM(AK3:AK33)</f>
        <v/>
      </c>
      <c r="AL34" s="9">
        <f>SUM(AL3:AL33)</f>
        <v/>
      </c>
      <c r="AM34" s="9">
        <f>SUM(AM3:AM33)</f>
        <v/>
      </c>
      <c r="AN34" s="9">
        <f>SUM(AN3:AN33)</f>
        <v/>
      </c>
      <c r="AP34" s="9">
        <f>SUM(AP3:AP33)</f>
        <v/>
      </c>
      <c r="AQ34" s="9">
        <f>SUM(AQ3:AQ33)</f>
        <v/>
      </c>
      <c r="AR34" s="9">
        <f>SUM(AR3:AR33)</f>
        <v/>
      </c>
      <c r="AS34" s="9">
        <f>SUM(AS3:AS33)</f>
        <v/>
      </c>
      <c r="AT34" s="9">
        <f>SUM(AT3:AT33)</f>
        <v/>
      </c>
      <c r="AU34" s="9">
        <f>SUM(AU3:AU33)</f>
        <v/>
      </c>
      <c r="AV34" s="9">
        <f>SUM(AV3:AV33)</f>
        <v/>
      </c>
      <c r="AW34" s="9">
        <f>SUM(AW3:AW33)</f>
        <v/>
      </c>
      <c r="AX34" s="9">
        <f>SUM(AX3:AX33)</f>
        <v/>
      </c>
      <c r="AY34" s="9">
        <f>SUM(AY3:AY33)</f>
        <v/>
      </c>
      <c r="AZ34" s="9">
        <f>SUM(AZ3:AZ33)</f>
        <v/>
      </c>
      <c r="BA34" s="9">
        <f>SUM(BA3:BA33)</f>
        <v/>
      </c>
      <c r="BB34" s="9">
        <f>SUM(BB3:BB33)</f>
        <v/>
      </c>
    </row>
  </sheetData>
  <mergeCells count="4">
    <mergeCell ref="B1:N1"/>
    <mergeCell ref="O1:AA1"/>
    <mergeCell ref="AB1:AN1"/>
    <mergeCell ref="AP1:B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2026-03-27T18:13:42Z</dcterms:created>
  <dcterms:modified xmlns:dcterms="http://purl.org/dc/terms/" xmlns:xsi="http://www.w3.org/2001/XMLSchema-instance" xsi:type="dcterms:W3CDTF">2026-03-27T18:13:43Z</dcterms:modified>
</cp:coreProperties>
</file>